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oducts" sheetId="2" state="visible" r:id="rId4"/>
    <sheet name="Varian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<sst xmlns="http://schemas.openxmlformats.org/spreadsheetml/2006/main" count="276" uniqueCount="126">
  <si>
    <t xml:space="preserve">Squishy Society — Product Pricing &amp; Sourcing Tracker</t>
  </si>
  <si>
    <t xml:space="preserve">Generated from the live site catalogue (products.js). Niche committed: Mochi, Prism Cubes, Keychain — one row per product currently listed on squishly.netlify.app.</t>
  </si>
  <si>
    <t xml:space="preserve">HOW TO USE THIS SHEET</t>
  </si>
  <si>
    <t xml:space="preserve">1. The 'Products' tab has one row per item in the shop, in the same order as the site.</t>
  </si>
  <si>
    <t xml:space="preserve">2. Blue cells are yours to edit: AliExpress URL, AliExpress Price, Shipping Cost, and Markup %.</t>
  </si>
  <si>
    <t xml:space="preserve">3. Black cells are formulas that recalculate automatically — don't type over them.</t>
  </si>
  <si>
    <t xml:space="preserve">4. 'Recommended Sell Price' = (AliExpress Price + Shipping) x (1 + Markup %). Change the Markup %</t>
  </si>
  <si>
    <t xml:space="preserve">   cell for any row to see a new recommended price instantly.</t>
  </si>
  <si>
    <t xml:space="preserve">5. 'Current Site Price' just shows what's live on the site right now, for comparison — it does NOT</t>
  </si>
  <si>
    <t xml:space="preserve">   update automatically. If you change a price here and like it, you (or I) still need to update</t>
  </si>
  <si>
    <t xml:space="preserve">   products.js and push to GitHub for it to go live.</t>
  </si>
  <si>
    <t xml:space="preserve">ABOUT THE URL AND SHIPPING COLUMNS</t>
  </si>
  <si>
    <t xml:space="preserve">- The catalogue was cut down to just Mochi, Prism Cubes, and Keychain (16 products). The Rainbow</t>
  </si>
  <si>
    <t xml:space="preserve">  Prism Cube (sq-063) has a real AliExpress URL and shipping cost — that's the one product sourced</t>
  </si>
  <si>
    <t xml:space="preserve">  since URL-tracking started.</t>
  </si>
  <si>
    <t xml:space="preserve">- The other 15 products (the original Mochi/Keychain picks) predate URL-tracking, so that column</t>
  </si>
  <si>
    <t xml:space="preserve">  is blank for them. Re-finding the exact original listing for each by search isn't fully reliable</t>
  </si>
  <si>
    <t xml:space="preserve">  (AliExpress has many near-identical sellers), so rather than guess and risk a wrong link, I'm</t>
  </si>
  <si>
    <t xml:space="preserve">  working through these deliberately, in verified batches — see the Instructions note below on</t>
  </si>
  <si>
    <t xml:space="preserve">  progress. Fill any in yourself as you go too, if you check a listing before I get to it.</t>
  </si>
  <si>
    <t xml:space="preserve">- Shipping Cost is set to $0 for those 15 rows as a placeholder (unknown, not necessarily free) —</t>
  </si>
  <si>
    <t xml:space="preserve">  once a real URL is confirmed for a row, the actual shipping cost gets filled in at the same time.</t>
  </si>
  <si>
    <t xml:space="preserve">ABOUT MARKUP</t>
  </si>
  <si>
    <t xml:space="preserve">- Markup % is pre-filled with whatever markup the current site price already implies, so this sheet</t>
  </si>
  <si>
    <t xml:space="preserve">  starts in sync with your live prices. Adjust freely — a common squishy/novelty retail range is</t>
  </si>
  <si>
    <t xml:space="preserve">  roughly 80%-180% markup on landed cost, which comfortably undercuts typical physical gift-shop or</t>
  </si>
  <si>
    <t xml:space="preserve">  novelty-store pricing while still leaving healthy margin after AliExpress and shipping costs. This</t>
  </si>
  <si>
    <t xml:space="preserve">  is a general guideline, not a verified competitor price check.</t>
  </si>
  <si>
    <t xml:space="preserve">- The Prism Cube category has a higher input cost, so a lower percentage markup can still mean a</t>
  </si>
  <si>
    <t xml:space="preserve">  higher dollar profit — the sheet shows both Profit ($) and Profit Margin (%) so you can judge by</t>
  </si>
  <si>
    <t xml:space="preserve">  either.</t>
  </si>
  <si>
    <t xml:space="preserve">ABOUT THE VARIANTS TAB</t>
  </si>
  <si>
    <t xml:space="preserve">- Some products (like the Rainbow Prism Cube) have sizes/colours that AliExpress prices differently</t>
  </si>
  <si>
    <t xml:space="preserve">  from each other — the 60mm cube costs over 3x what the 30mm one does. A single flat price per</t>
  </si>
  <si>
    <t xml:space="preserve">  product hides that, so the Variants tab breaks pricing out one row per size/variant instead.</t>
  </si>
  <si>
    <t xml:space="preserve">- Same formula logic as the Products tab, just per-variant: Landed Cost = AliExpress Price +</t>
  </si>
  <si>
    <t xml:space="preserve">  Shipping, Recommended Sell Price = Landed Cost x (1 + Markup %).</t>
  </si>
  <si>
    <t xml:space="preserve">- Right now only products where I've actually re-checked each variant's price on AliExpress appear</t>
  </si>
  <si>
    <t xml:space="preserve">  here (currently just the Rainbow Prism Cube). Going through all 63 products this way, one at a</t>
  </si>
  <si>
    <t xml:space="preserve">  time, costs a real amount of effort per product (revisiting the listing, clicking every variant,</t>
  </si>
  <si>
    <t xml:space="preserve">  reading off each price) so this fills in gradually in batches rather than all at once — ask me to</t>
  </si>
  <si>
    <t xml:space="preserve">  keep going on the next batch whenever you're ready, or tell me which products to prioritise.</t>
  </si>
  <si>
    <t xml:space="preserve">Product ID</t>
  </si>
  <si>
    <t xml:space="preserve">Product Name</t>
  </si>
  <si>
    <t xml:space="preserve">Category</t>
  </si>
  <si>
    <t xml:space="preserve">AliExpress URL</t>
  </si>
  <si>
    <t xml:space="preserve">AliExpress Price (AUD)</t>
  </si>
  <si>
    <t xml:space="preserve">Shipping Cost (AUD)</t>
  </si>
  <si>
    <t xml:space="preserve">Landed Cost (AUD)</t>
  </si>
  <si>
    <t xml:space="preserve">Markup %</t>
  </si>
  <si>
    <t xml:space="preserve">Recommended Sell Price (AUD)</t>
  </si>
  <si>
    <t xml:space="preserve">Current Site Price (AUD)</t>
  </si>
  <si>
    <t xml:space="preserve">Profit (AUD)</t>
  </si>
  <si>
    <t xml:space="preserve">Profit Margin %</t>
  </si>
  <si>
    <t xml:space="preserve">Source Rating</t>
  </si>
  <si>
    <t xml:space="preserve">Source Reviews/Sold</t>
  </si>
  <si>
    <t xml:space="preserve">Notes</t>
  </si>
  <si>
    <t xml:space="preserve">sq-001</t>
  </si>
  <si>
    <t xml:space="preserve">Coconut Mochi Squeeze Ball</t>
  </si>
  <si>
    <t xml:space="preserve">mochi</t>
  </si>
  <si>
    <t xml:space="preserve">https://www.aliexpress.com/item/1005012612601681.html</t>
  </si>
  <si>
    <t xml:space="preserve">286+</t>
  </si>
  <si>
    <t xml:space="preserve">sq-002</t>
  </si>
  <si>
    <t xml:space="preserve">Glow-in-the-Dark Mochi Animal Pack</t>
  </si>
  <si>
    <t xml:space="preserve">https://www.aliexpress.com/item/1005006252139979.html</t>
  </si>
  <si>
    <t xml:space="preserve">3,000+</t>
  </si>
  <si>
    <t xml:space="preserve">sq-011</t>
  </si>
  <si>
    <t xml:space="preserve">Mini Dumpling Keychain</t>
  </si>
  <si>
    <t xml:space="preserve">keychain</t>
  </si>
  <si>
    <t xml:space="preserve">https://www.aliexpress.com/item/1005009663405697.html</t>
  </si>
  <si>
    <t xml:space="preserve">700+</t>
  </si>
  <si>
    <t xml:space="preserve">sq-013</t>
  </si>
  <si>
    <t xml:space="preserve">Mini Food Charm Keychain Set</t>
  </si>
  <si>
    <t xml:space="preserve">4,000+</t>
  </si>
  <si>
    <t xml:space="preserve">URL not saved from original scrape — add manually; shipping unknown, treated as $0</t>
  </si>
  <si>
    <t xml:space="preserve">sq-015</t>
  </si>
  <si>
    <t xml:space="preserve">Cartoon Bear Squeak Keychain</t>
  </si>
  <si>
    <t xml:space="preserve">600+</t>
  </si>
  <si>
    <t xml:space="preserve">sq-016</t>
  </si>
  <si>
    <t xml:space="preserve">Star Plush Squeak Keychain</t>
  </si>
  <si>
    <t xml:space="preserve">500+</t>
  </si>
  <si>
    <t xml:space="preserve">sq-018</t>
  </si>
  <si>
    <t xml:space="preserve">Keyboard Clicker Fidget Keychain</t>
  </si>
  <si>
    <t xml:space="preserve">https://www.aliexpress.com/item/1005010788802674.html</t>
  </si>
  <si>
    <t xml:space="preserve">2,000+</t>
  </si>
  <si>
    <t xml:space="preserve">sq-019</t>
  </si>
  <si>
    <t xml:space="preserve">Clear Mochi Squeeze Blob</t>
  </si>
  <si>
    <t xml:space="preserve">5,000+</t>
  </si>
  <si>
    <t xml:space="preserve">sq-020</t>
  </si>
  <si>
    <t xml:space="preserve">Pink Ice Ball Mochi Squish</t>
  </si>
  <si>
    <t xml:space="preserve">sq-021</t>
  </si>
  <si>
    <t xml:space="preserve">Strawberry Mochi Squeeze Toy</t>
  </si>
  <si>
    <t xml:space="preserve">sq-022</t>
  </si>
  <si>
    <t xml:space="preserve">Blue Maltose Mochi Ball</t>
  </si>
  <si>
    <t xml:space="preserve">sq-023</t>
  </si>
  <si>
    <t xml:space="preserve">Mochi Animal Mega Pack (50pc)</t>
  </si>
  <si>
    <t xml:space="preserve">URL not saved from original scrape — add manually; shipping unknown, treated as $0; Mystery/blind pick</t>
  </si>
  <si>
    <t xml:space="preserve">sq-063</t>
  </si>
  <si>
    <t xml:space="preserve">Rainbow Prism Cube</t>
  </si>
  <si>
    <t xml:space="preserve">prism</t>
  </si>
  <si>
    <t xml:space="preserve">https://www.aliexpress.com/item/1005005399618112.html</t>
  </si>
  <si>
    <t xml:space="preserve">Currently in "Just landed"</t>
  </si>
  <si>
    <t xml:space="preserve">sq-064</t>
  </si>
  <si>
    <t xml:space="preserve">Studio Light Prism Cube</t>
  </si>
  <si>
    <t xml:space="preserve">https://www.aliexpress.com/item/1005009157109845.html</t>
  </si>
  <si>
    <t xml:space="preserve">TOTAL / AVERAGE</t>
  </si>
  <si>
    <t xml:space="preserve">Variant</t>
  </si>
  <si>
    <t xml:space="preserve">Standard</t>
  </si>
  <si>
    <t xml:space="preserve">12pcs without box</t>
  </si>
  <si>
    <t xml:space="preserve">24pcs without box</t>
  </si>
  <si>
    <t xml:space="preserve">24pcs with box</t>
  </si>
  <si>
    <t xml:space="preserve">36pcs without box</t>
  </si>
  <si>
    <t xml:space="preserve">White 1pcs</t>
  </si>
  <si>
    <t xml:space="preserve">White 2pcs</t>
  </si>
  <si>
    <t xml:space="preserve">White 3pcs</t>
  </si>
  <si>
    <t xml:space="preserve">White 4pcs</t>
  </si>
  <si>
    <t xml:space="preserve">White 5pcs</t>
  </si>
  <si>
    <t xml:space="preserve">1 Key</t>
  </si>
  <si>
    <t xml:space="preserve">4 Key</t>
  </si>
  <si>
    <t xml:space="preserve">5 Key</t>
  </si>
  <si>
    <t xml:space="preserve">9 Key</t>
  </si>
  <si>
    <t xml:space="preserve">30mm</t>
  </si>
  <si>
    <t xml:space="preserve">40mm</t>
  </si>
  <si>
    <t xml:space="preserve">50mm</t>
  </si>
  <si>
    <t xml:space="preserve">60mm</t>
  </si>
  <si>
    <t xml:space="preserve">Only products with confirmed per-size/variant AliExpress pricing appear here. As more products get their variant prices checked, they'll be added to this tab — see the Instructions tab.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</si>
</sst>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2E2E"/>
        <bgColor rgb="FF33330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 t="s">
        <v>19</v>
      </c>
    </row>
    <row r="24" customFormat="false" ht="15" hidden="false" customHeight="false" outlineLevel="0" collapsed="false">
      <c r="A24" s="3" t="s">
        <v>20</v>
      </c>
    </row>
    <row r="25" customFormat="false" ht="15" hidden="false" customHeight="false" outlineLevel="0" collapsed="false">
      <c r="A25" s="3" t="s">
        <v>21</v>
      </c>
    </row>
    <row r="26" customFormat="false" ht="15" hidden="false" customHeight="false" outlineLevel="0" collapsed="false">
      <c r="A26" s="3"/>
    </row>
    <row r="27" customFormat="false" ht="15" hidden="false" customHeight="false" outlineLevel="0" collapsed="false">
      <c r="A27" s="4" t="s">
        <v>22</v>
      </c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3" t="s">
        <v>24</v>
      </c>
    </row>
    <row r="30" customFormat="false" ht="15" hidden="false" customHeight="false" outlineLevel="0" collapsed="false">
      <c r="A30" s="3" t="s">
        <v>25</v>
      </c>
    </row>
    <row r="31" customFormat="false" ht="15" hidden="false" customHeight="false" outlineLevel="0" collapsed="false">
      <c r="A31" s="3" t="s">
        <v>26</v>
      </c>
    </row>
    <row r="32" customFormat="false" ht="15" hidden="false" customHeight="false" outlineLevel="0" collapsed="false">
      <c r="A32" s="3" t="s">
        <v>27</v>
      </c>
    </row>
    <row r="33" customFormat="false" ht="15" hidden="false" customHeight="false" outlineLevel="0" collapsed="false">
      <c r="A33" s="3" t="s">
        <v>28</v>
      </c>
    </row>
    <row r="34" customFormat="false" ht="15" hidden="false" customHeight="false" outlineLevel="0" collapsed="false">
      <c r="A34" s="3" t="s">
        <v>29</v>
      </c>
    </row>
    <row r="35" customFormat="false" ht="15" hidden="false" customHeight="false" outlineLevel="0" collapsed="false">
      <c r="A35" s="3" t="s">
        <v>30</v>
      </c>
    </row>
    <row r="36" customFormat="false" ht="15" hidden="false" customHeight="false" outlineLevel="0" collapsed="false">
      <c r="A36" s="3"/>
    </row>
    <row r="37" customFormat="false" ht="15" hidden="false" customHeight="false" outlineLevel="0" collapsed="false">
      <c r="A37" s="4" t="s">
        <v>31</v>
      </c>
    </row>
    <row r="38" customFormat="false" ht="15" hidden="false" customHeight="false" outlineLevel="0" collapsed="false">
      <c r="A38" s="3" t="s">
        <v>32</v>
      </c>
    </row>
    <row r="39" customFormat="false" ht="15" hidden="false" customHeight="false" outlineLevel="0" collapsed="false">
      <c r="A39" s="3" t="s">
        <v>33</v>
      </c>
    </row>
    <row r="40" customFormat="false" ht="15" hidden="false" customHeight="false" outlineLevel="0" collapsed="false">
      <c r="A40" s="3" t="s">
        <v>34</v>
      </c>
    </row>
    <row r="41" customFormat="false" ht="15" hidden="false" customHeight="false" outlineLevel="0" collapsed="false">
      <c r="A41" s="3" t="s">
        <v>35</v>
      </c>
    </row>
    <row r="42" customFormat="false" ht="15" hidden="false" customHeight="false" outlineLevel="0" collapsed="false">
      <c r="A42" s="3" t="s">
        <v>36</v>
      </c>
    </row>
    <row r="43" customFormat="false" ht="15" hidden="false" customHeight="false" outlineLevel="0" collapsed="false">
      <c r="A43" s="3" t="s">
        <v>37</v>
      </c>
    </row>
    <row r="44" customFormat="false" ht="15" hidden="false" customHeight="false" outlineLevel="0" collapsed="false">
      <c r="A44" s="3" t="s">
        <v>38</v>
      </c>
    </row>
    <row r="45" customFormat="false" ht="15" hidden="false" customHeight="false" outlineLevel="0" collapsed="false">
      <c r="A45" s="3" t="s">
        <v>39</v>
      </c>
    </row>
    <row r="46" customFormat="false" ht="15" hidden="false" customHeight="false" outlineLevel="0" collapsed="false">
      <c r="A46" s="3" t="s">
        <v>40</v>
      </c>
    </row>
    <row r="47" customFormat="false" ht="15" hidden="false" customHeight="false" outlineLevel="0" collapsed="false">
      <c r="A47" s="3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4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6"/>
    <col collapsed="false" customWidth="true" hidden="false" outlineLevel="0" max="15" min="15" style="0" width="46"/>
  </cols>
  <sheetData>
    <row r="1" customFormat="false" ht="31.5" hidden="false" customHeight="true" outlineLevel="0" collapsed="false">
      <c r="A1" s="5" t="s">
        <v>42</v>
      </c>
      <c r="B1" s="5" t="s">
        <v>43</v>
      </c>
      <c r="C1" s="5" t="s">
        <v>44</v>
      </c>
      <c r="D1" s="5" t="s">
        <v>45</v>
      </c>
      <c r="E1" s="5" t="s">
        <v>46</v>
      </c>
      <c r="F1" s="5" t="s">
        <v>47</v>
      </c>
      <c r="G1" s="5" t="s">
        <v>48</v>
      </c>
      <c r="H1" s="5" t="s">
        <v>49</v>
      </c>
      <c r="I1" s="5" t="s">
        <v>50</v>
      </c>
      <c r="J1" s="5" t="s">
        <v>51</v>
      </c>
      <c r="K1" s="5" t="s">
        <v>52</v>
      </c>
      <c r="L1" s="5" t="s">
        <v>53</v>
      </c>
      <c r="M1" s="5" t="s">
        <v>54</v>
      </c>
      <c r="N1" s="5" t="s">
        <v>55</v>
      </c>
      <c r="O1" s="5" t="s">
        <v>56</v>
      </c>
    </row>
    <row r="2" customFormat="false" ht="15" hidden="false" customHeight="false" outlineLevel="0" collapsed="false">
      <c r="A2" s="6" t="s">
        <v>57</v>
      </c>
      <c r="B2" s="6" t="s">
        <v>58</v>
      </c>
      <c r="C2" s="6" t="s">
        <v>59</v>
      </c>
      <c r="D2" s="7" t="s">
        <v>60</v>
      </c>
      <c r="E2" s="8" t="n">
        <v>7.16</v>
      </c>
      <c r="F2" s="8" t="n">
        <v>3.09</v>
      </c>
      <c r="G2" s="9" t="n">
        <f aca="false">E2+F2</f>
        <v>10.25</v>
      </c>
      <c r="H2" s="10" t="n">
        <v>0.8488</v>
      </c>
      <c r="I2" s="9" t="n">
        <f aca="false">ROUND(G2*(1+H2),2)</f>
        <v>18.95</v>
      </c>
      <c r="J2" s="9" t="n">
        <v>18.95</v>
      </c>
      <c r="K2" s="9" t="n">
        <f aca="false">I2-G2</f>
        <v>8.7</v>
      </c>
      <c r="L2" s="11" t="n">
        <f aca="false">IFERROR(K2/I2,0)</f>
        <v>0.45910290237467</v>
      </c>
      <c r="M2" s="6" t="n">
        <v>4.5</v>
      </c>
      <c r="N2" s="6" t="s">
        <v>61</v>
      </c>
      <c r="O2" s="12"/>
    </row>
    <row r="3" customFormat="false" ht="15" hidden="false" customHeight="false" outlineLevel="0" collapsed="false">
      <c r="A3" s="6" t="s">
        <v>62</v>
      </c>
      <c r="B3" s="6" t="s">
        <v>63</v>
      </c>
      <c r="C3" s="6" t="s">
        <v>59</v>
      </c>
      <c r="D3" s="7" t="s">
        <v>64</v>
      </c>
      <c r="E3" s="8" t="n">
        <v>7.61</v>
      </c>
      <c r="F3" s="8" t="n">
        <v>0</v>
      </c>
      <c r="G3" s="9" t="n">
        <f aca="false">E3+F3</f>
        <v>7.61</v>
      </c>
      <c r="H3" s="10" t="n">
        <v>1.2273</v>
      </c>
      <c r="I3" s="9" t="n">
        <f aca="false">ROUND(G3*(1+H3),2)</f>
        <v>16.95</v>
      </c>
      <c r="J3" s="9" t="n">
        <v>16.95</v>
      </c>
      <c r="K3" s="9" t="n">
        <f aca="false">I3-G3</f>
        <v>9.34</v>
      </c>
      <c r="L3" s="11" t="n">
        <f aca="false">IFERROR(K3/I3,0)</f>
        <v>0.551032448377581</v>
      </c>
      <c r="M3" s="6" t="n">
        <v>4.6</v>
      </c>
      <c r="N3" s="6" t="s">
        <v>65</v>
      </c>
      <c r="O3" s="12"/>
    </row>
    <row r="4" customFormat="false" ht="15" hidden="false" customHeight="false" outlineLevel="0" collapsed="false">
      <c r="A4" s="6" t="s">
        <v>66</v>
      </c>
      <c r="B4" s="6" t="s">
        <v>67</v>
      </c>
      <c r="C4" s="6" t="s">
        <v>68</v>
      </c>
      <c r="D4" s="7" t="s">
        <v>69</v>
      </c>
      <c r="E4" s="8" t="n">
        <v>2.12</v>
      </c>
      <c r="F4" s="8" t="n">
        <v>0</v>
      </c>
      <c r="G4" s="9" t="n">
        <f aca="false">E4+F4</f>
        <v>2.12</v>
      </c>
      <c r="H4" s="10" t="n">
        <v>1.8066</v>
      </c>
      <c r="I4" s="9" t="n">
        <f aca="false">ROUND(G4*(1+H4),2)</f>
        <v>5.95</v>
      </c>
      <c r="J4" s="9" t="n">
        <v>5.95</v>
      </c>
      <c r="K4" s="9" t="n">
        <f aca="false">I4-G4</f>
        <v>3.83</v>
      </c>
      <c r="L4" s="11" t="n">
        <f aca="false">IFERROR(K4/I4,0)</f>
        <v>0.643697478991597</v>
      </c>
      <c r="M4" s="6" t="n">
        <v>4.9</v>
      </c>
      <c r="N4" s="6" t="s">
        <v>70</v>
      </c>
      <c r="O4" s="12"/>
    </row>
    <row r="5" customFormat="false" ht="15" hidden="false" customHeight="false" outlineLevel="0" collapsed="false">
      <c r="A5" s="6" t="s">
        <v>71</v>
      </c>
      <c r="B5" s="6" t="s">
        <v>72</v>
      </c>
      <c r="C5" s="6" t="s">
        <v>68</v>
      </c>
      <c r="D5" s="7"/>
      <c r="E5" s="8" t="n">
        <v>1.42</v>
      </c>
      <c r="F5" s="8" t="n">
        <v>0</v>
      </c>
      <c r="G5" s="9" t="n">
        <f aca="false">E5+F5</f>
        <v>1.42</v>
      </c>
      <c r="H5" s="10" t="n">
        <v>5.3028</v>
      </c>
      <c r="I5" s="9" t="n">
        <f aca="false">ROUND(G5*(1+H5),2)</f>
        <v>8.95</v>
      </c>
      <c r="J5" s="9" t="n">
        <v>8.95</v>
      </c>
      <c r="K5" s="9" t="n">
        <f aca="false">I5-G5</f>
        <v>7.53</v>
      </c>
      <c r="L5" s="11" t="n">
        <f aca="false">IFERROR(K5/I5,0)</f>
        <v>0.841340782122905</v>
      </c>
      <c r="M5" s="6" t="n">
        <v>4.7</v>
      </c>
      <c r="N5" s="6" t="s">
        <v>73</v>
      </c>
      <c r="O5" s="12" t="s">
        <v>74</v>
      </c>
    </row>
    <row r="6" customFormat="false" ht="15" hidden="false" customHeight="false" outlineLevel="0" collapsed="false">
      <c r="A6" s="6" t="s">
        <v>75</v>
      </c>
      <c r="B6" s="6" t="s">
        <v>76</v>
      </c>
      <c r="C6" s="6" t="s">
        <v>68</v>
      </c>
      <c r="D6" s="7"/>
      <c r="E6" s="8" t="n">
        <v>1.42</v>
      </c>
      <c r="F6" s="8" t="n">
        <v>0</v>
      </c>
      <c r="G6" s="9" t="n">
        <f aca="false">E6+F6</f>
        <v>1.42</v>
      </c>
      <c r="H6" s="10" t="n">
        <v>5.3028</v>
      </c>
      <c r="I6" s="9" t="n">
        <f aca="false">ROUND(G6*(1+H6),2)</f>
        <v>8.95</v>
      </c>
      <c r="J6" s="9" t="n">
        <v>8.95</v>
      </c>
      <c r="K6" s="9" t="n">
        <f aca="false">I6-G6</f>
        <v>7.53</v>
      </c>
      <c r="L6" s="11" t="n">
        <f aca="false">IFERROR(K6/I6,0)</f>
        <v>0.841340782122905</v>
      </c>
      <c r="M6" s="6" t="n">
        <v>4.8</v>
      </c>
      <c r="N6" s="6" t="s">
        <v>77</v>
      </c>
      <c r="O6" s="12" t="s">
        <v>74</v>
      </c>
    </row>
    <row r="7" customFormat="false" ht="15" hidden="false" customHeight="false" outlineLevel="0" collapsed="false">
      <c r="A7" s="6" t="s">
        <v>78</v>
      </c>
      <c r="B7" s="6" t="s">
        <v>79</v>
      </c>
      <c r="C7" s="6" t="s">
        <v>68</v>
      </c>
      <c r="D7" s="7"/>
      <c r="E7" s="8" t="n">
        <v>1.42</v>
      </c>
      <c r="F7" s="8" t="n">
        <v>0</v>
      </c>
      <c r="G7" s="9" t="n">
        <f aca="false">E7+F7</f>
        <v>1.42</v>
      </c>
      <c r="H7" s="10" t="n">
        <v>4.5986</v>
      </c>
      <c r="I7" s="9" t="n">
        <f aca="false">ROUND(G7*(1+H7),2)</f>
        <v>7.95</v>
      </c>
      <c r="J7" s="9" t="n">
        <v>7.95</v>
      </c>
      <c r="K7" s="9" t="n">
        <f aca="false">I7-G7</f>
        <v>6.53</v>
      </c>
      <c r="L7" s="11" t="n">
        <f aca="false">IFERROR(K7/I7,0)</f>
        <v>0.821383647798742</v>
      </c>
      <c r="M7" s="6" t="n">
        <v>4.8</v>
      </c>
      <c r="N7" s="6" t="s">
        <v>80</v>
      </c>
      <c r="O7" s="12" t="s">
        <v>74</v>
      </c>
    </row>
    <row r="8" customFormat="false" ht="15" hidden="false" customHeight="false" outlineLevel="0" collapsed="false">
      <c r="A8" s="6" t="s">
        <v>81</v>
      </c>
      <c r="B8" s="6" t="s">
        <v>82</v>
      </c>
      <c r="C8" s="6" t="s">
        <v>68</v>
      </c>
      <c r="D8" s="7" t="s">
        <v>83</v>
      </c>
      <c r="E8" s="8" t="n">
        <v>2.01</v>
      </c>
      <c r="F8" s="8" t="n">
        <v>0</v>
      </c>
      <c r="G8" s="9" t="n">
        <f aca="false">E8+F8</f>
        <v>2.01</v>
      </c>
      <c r="H8" s="10" t="n">
        <v>2.9552</v>
      </c>
      <c r="I8" s="9" t="n">
        <f aca="false">ROUND(G8*(1+H8),2)</f>
        <v>7.95</v>
      </c>
      <c r="J8" s="9" t="n">
        <v>7.95</v>
      </c>
      <c r="K8" s="9" t="n">
        <f aca="false">I8-G8</f>
        <v>5.94</v>
      </c>
      <c r="L8" s="11" t="n">
        <f aca="false">IFERROR(K8/I8,0)</f>
        <v>0.747169811320755</v>
      </c>
      <c r="M8" s="6" t="n">
        <v>4.8</v>
      </c>
      <c r="N8" s="6" t="s">
        <v>84</v>
      </c>
      <c r="O8" s="12"/>
    </row>
    <row r="9" customFormat="false" ht="15" hidden="false" customHeight="false" outlineLevel="0" collapsed="false">
      <c r="A9" s="6" t="s">
        <v>85</v>
      </c>
      <c r="B9" s="6" t="s">
        <v>86</v>
      </c>
      <c r="C9" s="6" t="s">
        <v>59</v>
      </c>
      <c r="D9" s="7"/>
      <c r="E9" s="8" t="n">
        <v>6.63</v>
      </c>
      <c r="F9" s="8" t="n">
        <v>0</v>
      </c>
      <c r="G9" s="9" t="n">
        <f aca="false">E9+F9</f>
        <v>6.63</v>
      </c>
      <c r="H9" s="10" t="n">
        <v>1.8582</v>
      </c>
      <c r="I9" s="9" t="n">
        <f aca="false">ROUND(G9*(1+H9),2)</f>
        <v>18.95</v>
      </c>
      <c r="J9" s="9" t="n">
        <v>18.95</v>
      </c>
      <c r="K9" s="9" t="n">
        <f aca="false">I9-G9</f>
        <v>12.32</v>
      </c>
      <c r="L9" s="11" t="n">
        <f aca="false">IFERROR(K9/I9,0)</f>
        <v>0.650131926121372</v>
      </c>
      <c r="M9" s="6" t="n">
        <v>4.9</v>
      </c>
      <c r="N9" s="6" t="s">
        <v>87</v>
      </c>
      <c r="O9" s="12" t="s">
        <v>74</v>
      </c>
    </row>
    <row r="10" customFormat="false" ht="15" hidden="false" customHeight="false" outlineLevel="0" collapsed="false">
      <c r="A10" s="6" t="s">
        <v>88</v>
      </c>
      <c r="B10" s="6" t="s">
        <v>89</v>
      </c>
      <c r="C10" s="6" t="s">
        <v>59</v>
      </c>
      <c r="D10" s="7"/>
      <c r="E10" s="8" t="n">
        <v>5.06</v>
      </c>
      <c r="F10" s="8" t="n">
        <v>0</v>
      </c>
      <c r="G10" s="9" t="n">
        <f aca="false">E10+F10</f>
        <v>5.06</v>
      </c>
      <c r="H10" s="10" t="n">
        <v>1.9545</v>
      </c>
      <c r="I10" s="9" t="n">
        <f aca="false">ROUND(G10*(1+H10),2)</f>
        <v>14.95</v>
      </c>
      <c r="J10" s="9" t="n">
        <v>14.95</v>
      </c>
      <c r="K10" s="9" t="n">
        <f aca="false">I10-G10</f>
        <v>9.89</v>
      </c>
      <c r="L10" s="11" t="n">
        <f aca="false">IFERROR(K10/I10,0)</f>
        <v>0.661538461538462</v>
      </c>
      <c r="M10" s="6" t="n">
        <v>4.9</v>
      </c>
      <c r="N10" s="6" t="s">
        <v>87</v>
      </c>
      <c r="O10" s="12" t="s">
        <v>74</v>
      </c>
    </row>
    <row r="11" customFormat="false" ht="15" hidden="false" customHeight="false" outlineLevel="0" collapsed="false">
      <c r="A11" s="6" t="s">
        <v>90</v>
      </c>
      <c r="B11" s="6" t="s">
        <v>91</v>
      </c>
      <c r="C11" s="6" t="s">
        <v>59</v>
      </c>
      <c r="D11" s="7"/>
      <c r="E11" s="8" t="n">
        <v>5.28</v>
      </c>
      <c r="F11" s="8" t="n">
        <v>0</v>
      </c>
      <c r="G11" s="9" t="n">
        <f aca="false">E11+F11</f>
        <v>5.28</v>
      </c>
      <c r="H11" s="10" t="n">
        <v>2.0208</v>
      </c>
      <c r="I11" s="9" t="n">
        <f aca="false">ROUND(G11*(1+H11),2)</f>
        <v>15.95</v>
      </c>
      <c r="J11" s="9" t="n">
        <v>15.95</v>
      </c>
      <c r="K11" s="9" t="n">
        <f aca="false">I11-G11</f>
        <v>10.67</v>
      </c>
      <c r="L11" s="11" t="n">
        <f aca="false">IFERROR(K11/I11,0)</f>
        <v>0.668965517241379</v>
      </c>
      <c r="M11" s="6" t="n">
        <v>4.4</v>
      </c>
      <c r="N11" s="6" t="s">
        <v>87</v>
      </c>
      <c r="O11" s="12" t="s">
        <v>74</v>
      </c>
    </row>
    <row r="12" customFormat="false" ht="15" hidden="false" customHeight="false" outlineLevel="0" collapsed="false">
      <c r="A12" s="6" t="s">
        <v>92</v>
      </c>
      <c r="B12" s="6" t="s">
        <v>93</v>
      </c>
      <c r="C12" s="6" t="s">
        <v>59</v>
      </c>
      <c r="D12" s="7"/>
      <c r="E12" s="8" t="n">
        <v>5.96</v>
      </c>
      <c r="F12" s="8" t="n">
        <v>0</v>
      </c>
      <c r="G12" s="9" t="n">
        <f aca="false">E12+F12</f>
        <v>5.96</v>
      </c>
      <c r="H12" s="10" t="n">
        <v>2.0117</v>
      </c>
      <c r="I12" s="9" t="n">
        <f aca="false">ROUND(G12*(1+H12),2)</f>
        <v>17.95</v>
      </c>
      <c r="J12" s="9" t="n">
        <v>17.95</v>
      </c>
      <c r="K12" s="9" t="n">
        <f aca="false">I12-G12</f>
        <v>11.99</v>
      </c>
      <c r="L12" s="11" t="n">
        <f aca="false">IFERROR(K12/I12,0)</f>
        <v>0.667966573816156</v>
      </c>
      <c r="M12" s="6" t="n">
        <v>4.4</v>
      </c>
      <c r="N12" s="6" t="s">
        <v>87</v>
      </c>
      <c r="O12" s="12" t="s">
        <v>74</v>
      </c>
    </row>
    <row r="13" customFormat="false" ht="15" hidden="false" customHeight="false" outlineLevel="0" collapsed="false">
      <c r="A13" s="6" t="s">
        <v>94</v>
      </c>
      <c r="B13" s="6" t="s">
        <v>95</v>
      </c>
      <c r="C13" s="6" t="s">
        <v>59</v>
      </c>
      <c r="D13" s="7"/>
      <c r="E13" s="8" t="n">
        <v>19.53</v>
      </c>
      <c r="F13" s="8" t="n">
        <v>0</v>
      </c>
      <c r="G13" s="9" t="n">
        <f aca="false">E13+F13</f>
        <v>19.53</v>
      </c>
      <c r="H13" s="10" t="n">
        <v>1.3016</v>
      </c>
      <c r="I13" s="9" t="n">
        <f aca="false">ROUND(G13*(1+H13),2)</f>
        <v>44.95</v>
      </c>
      <c r="J13" s="9" t="n">
        <v>44.95</v>
      </c>
      <c r="K13" s="9" t="n">
        <f aca="false">I13-G13</f>
        <v>25.42</v>
      </c>
      <c r="L13" s="11" t="n">
        <f aca="false">IFERROR(K13/I13,0)</f>
        <v>0.56551724137931</v>
      </c>
      <c r="M13" s="6" t="n">
        <v>4.4</v>
      </c>
      <c r="N13" s="6" t="s">
        <v>65</v>
      </c>
      <c r="O13" s="12" t="s">
        <v>96</v>
      </c>
    </row>
    <row r="14" customFormat="false" ht="15" hidden="false" customHeight="false" outlineLevel="0" collapsed="false">
      <c r="A14" s="6" t="s">
        <v>97</v>
      </c>
      <c r="B14" s="6" t="s">
        <v>98</v>
      </c>
      <c r="C14" s="6" t="s">
        <v>99</v>
      </c>
      <c r="D14" s="7" t="s">
        <v>100</v>
      </c>
      <c r="E14" s="8" t="n">
        <v>7.4</v>
      </c>
      <c r="F14" s="8" t="n">
        <v>3.12</v>
      </c>
      <c r="G14" s="9" t="n">
        <f aca="false">E14+F14</f>
        <v>10.52</v>
      </c>
      <c r="H14" s="10" t="n">
        <v>1.0865</v>
      </c>
      <c r="I14" s="9" t="n">
        <f aca="false">ROUND(G14*(1+H14),2)</f>
        <v>21.95</v>
      </c>
      <c r="J14" s="9" t="n">
        <v>21.95</v>
      </c>
      <c r="K14" s="9" t="n">
        <f aca="false">I14-G14</f>
        <v>11.43</v>
      </c>
      <c r="L14" s="11" t="n">
        <f aca="false">IFERROR(K14/I14,0)</f>
        <v>0.520728929384966</v>
      </c>
      <c r="M14" s="6" t="n">
        <v>4.4</v>
      </c>
      <c r="N14" s="6" t="s">
        <v>77</v>
      </c>
      <c r="O14" s="12" t="s">
        <v>101</v>
      </c>
    </row>
    <row r="15" customFormat="false" ht="15" hidden="false" customHeight="false" outlineLevel="0" collapsed="false">
      <c r="A15" s="6" t="s">
        <v>102</v>
      </c>
      <c r="B15" s="6" t="s">
        <v>103</v>
      </c>
      <c r="C15" s="6" t="s">
        <v>99</v>
      </c>
      <c r="D15" s="7" t="s">
        <v>104</v>
      </c>
      <c r="E15" s="8" t="n">
        <v>8.28</v>
      </c>
      <c r="F15" s="8" t="n">
        <v>0</v>
      </c>
      <c r="G15" s="9" t="n">
        <f aca="false">E15+F15</f>
        <v>8.28</v>
      </c>
      <c r="H15" s="10" t="n">
        <v>1.1679</v>
      </c>
      <c r="I15" s="9" t="n">
        <f aca="false">ROUND(G15*(1+H15),2)</f>
        <v>17.95</v>
      </c>
      <c r="J15" s="9" t="n">
        <v>17.95</v>
      </c>
      <c r="K15" s="9" t="n">
        <f aca="false">I15-G15</f>
        <v>9.67</v>
      </c>
      <c r="L15" s="11" t="n">
        <f aca="false">IFERROR(K15/I15,0)</f>
        <v>0.538718662952646</v>
      </c>
      <c r="M15" s="6" t="n">
        <v>4.4</v>
      </c>
      <c r="N15" s="6" t="s">
        <v>70</v>
      </c>
      <c r="O15" s="12" t="s">
        <v>101</v>
      </c>
    </row>
    <row r="16" customFormat="false" ht="15" hidden="false" customHeight="false" outlineLevel="0" collapsed="false">
      <c r="B16" s="13" t="s">
        <v>105</v>
      </c>
      <c r="K16" s="14" t="n">
        <f aca="false">SUM(K2:K15)</f>
        <v>140.79</v>
      </c>
      <c r="L16" s="15" t="n">
        <f aca="false">AVERAGE(L2:L15)</f>
        <v>0.655616797538818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4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13"/>
  </cols>
  <sheetData>
    <row r="1" customFormat="false" ht="31.5" hidden="false" customHeight="true" outlineLevel="0" collapsed="false">
      <c r="A1" s="5" t="s">
        <v>42</v>
      </c>
      <c r="B1" s="5" t="s">
        <v>43</v>
      </c>
      <c r="C1" s="5" t="s">
        <v>44</v>
      </c>
      <c r="D1" s="5" t="s">
        <v>106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  <c r="J1" s="5" t="s">
        <v>50</v>
      </c>
      <c r="K1" s="5" t="s">
        <v>51</v>
      </c>
      <c r="L1" s="5" t="s">
        <v>52</v>
      </c>
      <c r="M1" s="5" t="s">
        <v>53</v>
      </c>
    </row>
    <row r="2" customFormat="false" ht="15" hidden="false" customHeight="false" outlineLevel="0" collapsed="false">
      <c r="A2" s="6" t="s">
        <v>57</v>
      </c>
      <c r="B2" s="6" t="s">
        <v>58</v>
      </c>
      <c r="C2" s="6" t="s">
        <v>59</v>
      </c>
      <c r="D2" s="6" t="s">
        <v>107</v>
      </c>
      <c r="E2" s="7" t="s">
        <v>60</v>
      </c>
      <c r="F2" s="8" t="n">
        <v>7.16</v>
      </c>
      <c r="G2" s="8" t="n">
        <v>3.09</v>
      </c>
      <c r="H2" s="9" t="n">
        <f aca="false">F2+G2</f>
        <v>10.25</v>
      </c>
      <c r="I2" s="10" t="n">
        <v>0.8488</v>
      </c>
      <c r="J2" s="9" t="n">
        <f aca="false">ROUND(H2*(1+I2),2)</f>
        <v>18.95</v>
      </c>
      <c r="K2" s="9" t="n">
        <v>18.95</v>
      </c>
      <c r="L2" s="9" t="n">
        <f aca="false">J2-H2</f>
        <v>8.7</v>
      </c>
      <c r="M2" s="11" t="n">
        <f aca="false">IFERROR(L2/K2,0)</f>
        <v>0.45910290237467</v>
      </c>
    </row>
    <row r="3" customFormat="false" ht="15" hidden="false" customHeight="false" outlineLevel="0" collapsed="false">
      <c r="A3" s="6" t="s">
        <v>62</v>
      </c>
      <c r="B3" s="6" t="s">
        <v>63</v>
      </c>
      <c r="C3" s="6" t="s">
        <v>59</v>
      </c>
      <c r="D3" s="6" t="s">
        <v>108</v>
      </c>
      <c r="E3" s="7" t="s">
        <v>64</v>
      </c>
      <c r="F3" s="8" t="n">
        <v>7.61</v>
      </c>
      <c r="G3" s="8" t="n">
        <v>0</v>
      </c>
      <c r="H3" s="9" t="n">
        <f aca="false">F3+G3</f>
        <v>7.61</v>
      </c>
      <c r="I3" s="10" t="n">
        <v>1.2273</v>
      </c>
      <c r="J3" s="9" t="n">
        <f aca="false">ROUND(H3*(1+I3),2)</f>
        <v>16.95</v>
      </c>
      <c r="K3" s="9" t="n">
        <v>16.95</v>
      </c>
      <c r="L3" s="9" t="n">
        <f aca="false">J3-H3</f>
        <v>9.34</v>
      </c>
      <c r="M3" s="11" t="n">
        <f aca="false">IFERROR(L3/K3,0)</f>
        <v>0.551032448377581</v>
      </c>
    </row>
    <row r="4" customFormat="false" ht="15" hidden="false" customHeight="false" outlineLevel="0" collapsed="false">
      <c r="A4" s="6" t="s">
        <v>62</v>
      </c>
      <c r="B4" s="6" t="s">
        <v>63</v>
      </c>
      <c r="C4" s="6" t="s">
        <v>59</v>
      </c>
      <c r="D4" s="6" t="s">
        <v>109</v>
      </c>
      <c r="E4" s="7" t="s">
        <v>64</v>
      </c>
      <c r="F4" s="8" t="n">
        <v>12.59</v>
      </c>
      <c r="G4" s="8" t="n">
        <v>0</v>
      </c>
      <c r="H4" s="9" t="n">
        <f aca="false">F4+G4</f>
        <v>12.59</v>
      </c>
      <c r="I4" s="10" t="n">
        <v>1.22</v>
      </c>
      <c r="J4" s="9" t="n">
        <f aca="false">ROUND(H4*(1+I4),2)</f>
        <v>27.95</v>
      </c>
      <c r="K4" s="9" t="n">
        <v>27.95</v>
      </c>
      <c r="L4" s="9" t="n">
        <f aca="false">J4-H4</f>
        <v>15.36</v>
      </c>
      <c r="M4" s="11" t="n">
        <f aca="false">IFERROR(L4/K4,0)</f>
        <v>0.549552772808587</v>
      </c>
    </row>
    <row r="5" customFormat="false" ht="15" hidden="false" customHeight="false" outlineLevel="0" collapsed="false">
      <c r="A5" s="6" t="s">
        <v>62</v>
      </c>
      <c r="B5" s="6" t="s">
        <v>63</v>
      </c>
      <c r="C5" s="6" t="s">
        <v>59</v>
      </c>
      <c r="D5" s="6" t="s">
        <v>110</v>
      </c>
      <c r="E5" s="7" t="s">
        <v>64</v>
      </c>
      <c r="F5" s="8" t="n">
        <v>14.25</v>
      </c>
      <c r="G5" s="8" t="n">
        <v>0</v>
      </c>
      <c r="H5" s="9" t="n">
        <f aca="false">F5+G5</f>
        <v>14.25</v>
      </c>
      <c r="I5" s="10" t="n">
        <v>1.2421</v>
      </c>
      <c r="J5" s="9" t="n">
        <f aca="false">ROUND(H5*(1+I5),2)</f>
        <v>31.95</v>
      </c>
      <c r="K5" s="9" t="n">
        <v>31.95</v>
      </c>
      <c r="L5" s="9" t="n">
        <f aca="false">J5-H5</f>
        <v>17.7</v>
      </c>
      <c r="M5" s="11" t="n">
        <f aca="false">IFERROR(L5/K5,0)</f>
        <v>0.553990610328639</v>
      </c>
    </row>
    <row r="6" customFormat="false" ht="15" hidden="false" customHeight="false" outlineLevel="0" collapsed="false">
      <c r="A6" s="6" t="s">
        <v>62</v>
      </c>
      <c r="B6" s="6" t="s">
        <v>63</v>
      </c>
      <c r="C6" s="6" t="s">
        <v>59</v>
      </c>
      <c r="D6" s="6" t="s">
        <v>111</v>
      </c>
      <c r="E6" s="7" t="s">
        <v>64</v>
      </c>
      <c r="F6" s="8" t="n">
        <v>18.14</v>
      </c>
      <c r="G6" s="8" t="n">
        <v>0</v>
      </c>
      <c r="H6" s="9" t="n">
        <f aca="false">F6+G6</f>
        <v>18.14</v>
      </c>
      <c r="I6" s="10" t="n">
        <v>1.2023</v>
      </c>
      <c r="J6" s="9" t="n">
        <f aca="false">ROUND(H6*(1+I6),2)</f>
        <v>39.95</v>
      </c>
      <c r="K6" s="9" t="n">
        <v>39.95</v>
      </c>
      <c r="L6" s="9" t="n">
        <f aca="false">J6-H6</f>
        <v>21.81</v>
      </c>
      <c r="M6" s="11" t="n">
        <f aca="false">IFERROR(L6/K6,0)</f>
        <v>0.545932415519399</v>
      </c>
    </row>
    <row r="7" customFormat="false" ht="15" hidden="false" customHeight="false" outlineLevel="0" collapsed="false">
      <c r="A7" s="6" t="s">
        <v>66</v>
      </c>
      <c r="B7" s="6" t="s">
        <v>67</v>
      </c>
      <c r="C7" s="6" t="s">
        <v>68</v>
      </c>
      <c r="D7" s="6" t="s">
        <v>112</v>
      </c>
      <c r="E7" s="7" t="s">
        <v>69</v>
      </c>
      <c r="F7" s="8" t="n">
        <v>2.12</v>
      </c>
      <c r="G7" s="8" t="n">
        <v>0</v>
      </c>
      <c r="H7" s="9" t="n">
        <f aca="false">F7+G7</f>
        <v>2.12</v>
      </c>
      <c r="I7" s="10" t="n">
        <v>1.8066</v>
      </c>
      <c r="J7" s="9" t="n">
        <f aca="false">ROUND(H7*(1+I7),2)</f>
        <v>5.95</v>
      </c>
      <c r="K7" s="9" t="n">
        <v>5.95</v>
      </c>
      <c r="L7" s="9" t="n">
        <f aca="false">J7-H7</f>
        <v>3.83</v>
      </c>
      <c r="M7" s="11" t="n">
        <f aca="false">IFERROR(L7/K7,0)</f>
        <v>0.643697478991597</v>
      </c>
    </row>
    <row r="8" customFormat="false" ht="15" hidden="false" customHeight="false" outlineLevel="0" collapsed="false">
      <c r="A8" s="6" t="s">
        <v>66</v>
      </c>
      <c r="B8" s="6" t="s">
        <v>67</v>
      </c>
      <c r="C8" s="6" t="s">
        <v>68</v>
      </c>
      <c r="D8" s="6" t="s">
        <v>113</v>
      </c>
      <c r="E8" s="7" t="s">
        <v>69</v>
      </c>
      <c r="F8" s="8" t="n">
        <v>3.01</v>
      </c>
      <c r="G8" s="8" t="n">
        <v>0</v>
      </c>
      <c r="H8" s="9" t="n">
        <f aca="false">F8+G8</f>
        <v>3.01</v>
      </c>
      <c r="I8" s="10" t="n">
        <v>1.9734</v>
      </c>
      <c r="J8" s="9" t="n">
        <f aca="false">ROUND(H8*(1+I8),2)</f>
        <v>8.95</v>
      </c>
      <c r="K8" s="9" t="n">
        <v>8.95</v>
      </c>
      <c r="L8" s="9" t="n">
        <f aca="false">J8-H8</f>
        <v>5.94</v>
      </c>
      <c r="M8" s="11" t="n">
        <f aca="false">IFERROR(L8/K8,0)</f>
        <v>0.663687150837989</v>
      </c>
    </row>
    <row r="9" customFormat="false" ht="15" hidden="false" customHeight="false" outlineLevel="0" collapsed="false">
      <c r="A9" s="6" t="s">
        <v>66</v>
      </c>
      <c r="B9" s="6" t="s">
        <v>67</v>
      </c>
      <c r="C9" s="6" t="s">
        <v>68</v>
      </c>
      <c r="D9" s="6" t="s">
        <v>114</v>
      </c>
      <c r="E9" s="7" t="s">
        <v>69</v>
      </c>
      <c r="F9" s="8" t="n">
        <v>4.27</v>
      </c>
      <c r="G9" s="8" t="n">
        <v>0</v>
      </c>
      <c r="H9" s="9" t="n">
        <f aca="false">F9+G9</f>
        <v>4.27</v>
      </c>
      <c r="I9" s="10" t="n">
        <v>1.7986</v>
      </c>
      <c r="J9" s="9" t="n">
        <f aca="false">ROUND(H9*(1+I9),2)</f>
        <v>11.95</v>
      </c>
      <c r="K9" s="9" t="n">
        <v>11.95</v>
      </c>
      <c r="L9" s="9" t="n">
        <f aca="false">J9-H9</f>
        <v>7.68</v>
      </c>
      <c r="M9" s="11" t="n">
        <f aca="false">IFERROR(L9/K9,0)</f>
        <v>0.642677824267782</v>
      </c>
    </row>
    <row r="10" customFormat="false" ht="15" hidden="false" customHeight="false" outlineLevel="0" collapsed="false">
      <c r="A10" s="6" t="s">
        <v>66</v>
      </c>
      <c r="B10" s="6" t="s">
        <v>67</v>
      </c>
      <c r="C10" s="6" t="s">
        <v>68</v>
      </c>
      <c r="D10" s="6" t="s">
        <v>115</v>
      </c>
      <c r="E10" s="7" t="s">
        <v>69</v>
      </c>
      <c r="F10" s="8" t="n">
        <v>4.95</v>
      </c>
      <c r="G10" s="8" t="n">
        <v>0</v>
      </c>
      <c r="H10" s="9" t="n">
        <f aca="false">F10+G10</f>
        <v>4.95</v>
      </c>
      <c r="I10" s="10" t="n">
        <v>1.8182</v>
      </c>
      <c r="J10" s="9" t="n">
        <f aca="false">ROUND(H10*(1+I10),2)</f>
        <v>13.95</v>
      </c>
      <c r="K10" s="9" t="n">
        <v>13.95</v>
      </c>
      <c r="L10" s="9" t="n">
        <f aca="false">J10-H10</f>
        <v>9</v>
      </c>
      <c r="M10" s="11" t="n">
        <f aca="false">IFERROR(L10/K10,0)</f>
        <v>0.645161290322581</v>
      </c>
    </row>
    <row r="11" customFormat="false" ht="15" hidden="false" customHeight="false" outlineLevel="0" collapsed="false">
      <c r="A11" s="6" t="s">
        <v>66</v>
      </c>
      <c r="B11" s="6" t="s">
        <v>67</v>
      </c>
      <c r="C11" s="6" t="s">
        <v>68</v>
      </c>
      <c r="D11" s="6" t="s">
        <v>116</v>
      </c>
      <c r="E11" s="7" t="s">
        <v>69</v>
      </c>
      <c r="F11" s="8" t="n">
        <v>5.75</v>
      </c>
      <c r="G11" s="8" t="n">
        <v>0</v>
      </c>
      <c r="H11" s="9" t="n">
        <f aca="false">F11+G11</f>
        <v>5.75</v>
      </c>
      <c r="I11" s="10" t="n">
        <v>1.7739</v>
      </c>
      <c r="J11" s="9" t="n">
        <f aca="false">ROUND(H11*(1+I11),2)</f>
        <v>15.95</v>
      </c>
      <c r="K11" s="9" t="n">
        <v>15.95</v>
      </c>
      <c r="L11" s="9" t="n">
        <f aca="false">J11-H11</f>
        <v>10.2</v>
      </c>
      <c r="M11" s="11" t="n">
        <f aca="false">IFERROR(L11/K11,0)</f>
        <v>0.639498432601881</v>
      </c>
    </row>
    <row r="12" customFormat="false" ht="15" hidden="false" customHeight="false" outlineLevel="0" collapsed="false">
      <c r="A12" s="6" t="s">
        <v>71</v>
      </c>
      <c r="B12" s="6" t="s">
        <v>72</v>
      </c>
      <c r="C12" s="6" t="s">
        <v>68</v>
      </c>
      <c r="D12" s="6" t="s">
        <v>107</v>
      </c>
      <c r="E12" s="7"/>
      <c r="F12" s="8" t="n">
        <v>1.42</v>
      </c>
      <c r="G12" s="8" t="n">
        <v>0</v>
      </c>
      <c r="H12" s="9" t="n">
        <f aca="false">F12+G12</f>
        <v>1.42</v>
      </c>
      <c r="I12" s="10" t="n">
        <v>5.3028</v>
      </c>
      <c r="J12" s="9" t="n">
        <f aca="false">ROUND(H12*(1+I12),2)</f>
        <v>8.95</v>
      </c>
      <c r="K12" s="9" t="n">
        <v>8.95</v>
      </c>
      <c r="L12" s="9" t="n">
        <f aca="false">J12-H12</f>
        <v>7.53</v>
      </c>
      <c r="M12" s="11" t="n">
        <f aca="false">IFERROR(L12/K12,0)</f>
        <v>0.841340782122905</v>
      </c>
    </row>
    <row r="13" customFormat="false" ht="15" hidden="false" customHeight="false" outlineLevel="0" collapsed="false">
      <c r="A13" s="6" t="s">
        <v>75</v>
      </c>
      <c r="B13" s="6" t="s">
        <v>76</v>
      </c>
      <c r="C13" s="6" t="s">
        <v>68</v>
      </c>
      <c r="D13" s="6" t="s">
        <v>107</v>
      </c>
      <c r="E13" s="7"/>
      <c r="F13" s="8" t="n">
        <v>1.42</v>
      </c>
      <c r="G13" s="8" t="n">
        <v>0</v>
      </c>
      <c r="H13" s="9" t="n">
        <f aca="false">F13+G13</f>
        <v>1.42</v>
      </c>
      <c r="I13" s="10" t="n">
        <v>5.3028</v>
      </c>
      <c r="J13" s="9" t="n">
        <f aca="false">ROUND(H13*(1+I13),2)</f>
        <v>8.95</v>
      </c>
      <c r="K13" s="9" t="n">
        <v>8.95</v>
      </c>
      <c r="L13" s="9" t="n">
        <f aca="false">J13-H13</f>
        <v>7.53</v>
      </c>
      <c r="M13" s="11" t="n">
        <f aca="false">IFERROR(L13/K13,0)</f>
        <v>0.841340782122905</v>
      </c>
    </row>
    <row r="14" customFormat="false" ht="15" hidden="false" customHeight="false" outlineLevel="0" collapsed="false">
      <c r="A14" s="6" t="s">
        <v>78</v>
      </c>
      <c r="B14" s="6" t="s">
        <v>79</v>
      </c>
      <c r="C14" s="6" t="s">
        <v>68</v>
      </c>
      <c r="D14" s="6" t="s">
        <v>107</v>
      </c>
      <c r="E14" s="7"/>
      <c r="F14" s="8" t="n">
        <v>1.42</v>
      </c>
      <c r="G14" s="8" t="n">
        <v>0</v>
      </c>
      <c r="H14" s="9" t="n">
        <f aca="false">F14+G14</f>
        <v>1.42</v>
      </c>
      <c r="I14" s="10" t="n">
        <v>4.5986</v>
      </c>
      <c r="J14" s="9" t="n">
        <f aca="false">ROUND(H14*(1+I14),2)</f>
        <v>7.95</v>
      </c>
      <c r="K14" s="9" t="n">
        <v>7.95</v>
      </c>
      <c r="L14" s="9" t="n">
        <f aca="false">J14-H14</f>
        <v>6.53</v>
      </c>
      <c r="M14" s="11" t="n">
        <f aca="false">IFERROR(L14/K14,0)</f>
        <v>0.821383647798742</v>
      </c>
    </row>
    <row r="15" customFormat="false" ht="15" hidden="false" customHeight="false" outlineLevel="0" collapsed="false">
      <c r="A15" s="6" t="s">
        <v>81</v>
      </c>
      <c r="B15" s="6" t="s">
        <v>82</v>
      </c>
      <c r="C15" s="6" t="s">
        <v>68</v>
      </c>
      <c r="D15" s="6" t="s">
        <v>117</v>
      </c>
      <c r="E15" s="7" t="s">
        <v>83</v>
      </c>
      <c r="F15" s="8" t="n">
        <v>2.01</v>
      </c>
      <c r="G15" s="8" t="n">
        <v>0</v>
      </c>
      <c r="H15" s="9" t="n">
        <f aca="false">F15+G15</f>
        <v>2.01</v>
      </c>
      <c r="I15" s="10" t="n">
        <v>2.9552</v>
      </c>
      <c r="J15" s="9" t="n">
        <f aca="false">ROUND(H15*(1+I15),2)</f>
        <v>7.95</v>
      </c>
      <c r="K15" s="9" t="n">
        <v>7.95</v>
      </c>
      <c r="L15" s="9" t="n">
        <f aca="false">J15-H15</f>
        <v>5.94</v>
      </c>
      <c r="M15" s="11" t="n">
        <f aca="false">IFERROR(L15/K15,0)</f>
        <v>0.747169811320755</v>
      </c>
    </row>
    <row r="16" customFormat="false" ht="15" hidden="false" customHeight="false" outlineLevel="0" collapsed="false">
      <c r="A16" s="6" t="s">
        <v>81</v>
      </c>
      <c r="B16" s="6" t="s">
        <v>82</v>
      </c>
      <c r="C16" s="6" t="s">
        <v>68</v>
      </c>
      <c r="D16" s="6" t="s">
        <v>118</v>
      </c>
      <c r="E16" s="7" t="s">
        <v>83</v>
      </c>
      <c r="F16" s="8" t="n">
        <v>3.21</v>
      </c>
      <c r="G16" s="8" t="n">
        <v>0</v>
      </c>
      <c r="H16" s="9" t="n">
        <f aca="false">F16+G16</f>
        <v>3.21</v>
      </c>
      <c r="I16" s="10" t="n">
        <v>2.4112</v>
      </c>
      <c r="J16" s="9" t="n">
        <f aca="false">ROUND(H16*(1+I16),2)</f>
        <v>10.95</v>
      </c>
      <c r="K16" s="9" t="n">
        <v>10.95</v>
      </c>
      <c r="L16" s="9" t="n">
        <f aca="false">J16-H16</f>
        <v>7.74</v>
      </c>
      <c r="M16" s="11" t="n">
        <f aca="false">IFERROR(L16/K16,0)</f>
        <v>0.706849315068493</v>
      </c>
    </row>
    <row r="17" customFormat="false" ht="15" hidden="false" customHeight="false" outlineLevel="0" collapsed="false">
      <c r="A17" s="6" t="s">
        <v>81</v>
      </c>
      <c r="B17" s="6" t="s">
        <v>82</v>
      </c>
      <c r="C17" s="6" t="s">
        <v>68</v>
      </c>
      <c r="D17" s="6" t="s">
        <v>119</v>
      </c>
      <c r="E17" s="7" t="s">
        <v>83</v>
      </c>
      <c r="F17" s="8" t="n">
        <v>4.13</v>
      </c>
      <c r="G17" s="8" t="n">
        <v>0</v>
      </c>
      <c r="H17" s="9" t="n">
        <f aca="false">F17+G17</f>
        <v>4.13</v>
      </c>
      <c r="I17" s="10" t="n">
        <v>2.1356</v>
      </c>
      <c r="J17" s="9" t="n">
        <f aca="false">ROUND(H17*(1+I17),2)</f>
        <v>12.95</v>
      </c>
      <c r="K17" s="9" t="n">
        <v>12.95</v>
      </c>
      <c r="L17" s="9" t="n">
        <f aca="false">J17-H17</f>
        <v>8.82</v>
      </c>
      <c r="M17" s="11" t="n">
        <f aca="false">IFERROR(L17/K17,0)</f>
        <v>0.681081081081081</v>
      </c>
    </row>
    <row r="18" customFormat="false" ht="15" hidden="false" customHeight="false" outlineLevel="0" collapsed="false">
      <c r="A18" s="6" t="s">
        <v>81</v>
      </c>
      <c r="B18" s="6" t="s">
        <v>82</v>
      </c>
      <c r="C18" s="6" t="s">
        <v>68</v>
      </c>
      <c r="D18" s="6" t="s">
        <v>120</v>
      </c>
      <c r="E18" s="7" t="s">
        <v>83</v>
      </c>
      <c r="F18" s="8" t="n">
        <v>4.72</v>
      </c>
      <c r="G18" s="8" t="n">
        <v>0</v>
      </c>
      <c r="H18" s="9" t="n">
        <f aca="false">F18+G18</f>
        <v>4.72</v>
      </c>
      <c r="I18" s="10" t="n">
        <v>2.1674</v>
      </c>
      <c r="J18" s="9" t="n">
        <f aca="false">ROUND(H18*(1+I18),2)</f>
        <v>14.95</v>
      </c>
      <c r="K18" s="9" t="n">
        <v>14.95</v>
      </c>
      <c r="L18" s="9" t="n">
        <f aca="false">J18-H18</f>
        <v>10.23</v>
      </c>
      <c r="M18" s="11" t="n">
        <f aca="false">IFERROR(L18/K18,0)</f>
        <v>0.68428093645485</v>
      </c>
    </row>
    <row r="19" customFormat="false" ht="15" hidden="false" customHeight="false" outlineLevel="0" collapsed="false">
      <c r="A19" s="6" t="s">
        <v>85</v>
      </c>
      <c r="B19" s="6" t="s">
        <v>86</v>
      </c>
      <c r="C19" s="6" t="s">
        <v>59</v>
      </c>
      <c r="D19" s="6" t="s">
        <v>107</v>
      </c>
      <c r="E19" s="7"/>
      <c r="F19" s="8" t="n">
        <v>6.63</v>
      </c>
      <c r="G19" s="8" t="n">
        <v>0</v>
      </c>
      <c r="H19" s="9" t="n">
        <f aca="false">F19+G19</f>
        <v>6.63</v>
      </c>
      <c r="I19" s="10" t="n">
        <v>1.8582</v>
      </c>
      <c r="J19" s="9" t="n">
        <f aca="false">ROUND(H19*(1+I19),2)</f>
        <v>18.95</v>
      </c>
      <c r="K19" s="9" t="n">
        <v>18.95</v>
      </c>
      <c r="L19" s="9" t="n">
        <f aca="false">J19-H19</f>
        <v>12.32</v>
      </c>
      <c r="M19" s="11" t="n">
        <f aca="false">IFERROR(L19/K19,0)</f>
        <v>0.650131926121372</v>
      </c>
    </row>
    <row r="20" customFormat="false" ht="15" hidden="false" customHeight="false" outlineLevel="0" collapsed="false">
      <c r="A20" s="6" t="s">
        <v>88</v>
      </c>
      <c r="B20" s="6" t="s">
        <v>89</v>
      </c>
      <c r="C20" s="6" t="s">
        <v>59</v>
      </c>
      <c r="D20" s="6" t="s">
        <v>107</v>
      </c>
      <c r="E20" s="7"/>
      <c r="F20" s="8" t="n">
        <v>5.06</v>
      </c>
      <c r="G20" s="8" t="n">
        <v>0</v>
      </c>
      <c r="H20" s="9" t="n">
        <f aca="false">F20+G20</f>
        <v>5.06</v>
      </c>
      <c r="I20" s="10" t="n">
        <v>1.9545</v>
      </c>
      <c r="J20" s="9" t="n">
        <f aca="false">ROUND(H20*(1+I20),2)</f>
        <v>14.95</v>
      </c>
      <c r="K20" s="9" t="n">
        <v>14.95</v>
      </c>
      <c r="L20" s="9" t="n">
        <f aca="false">J20-H20</f>
        <v>9.89</v>
      </c>
      <c r="M20" s="11" t="n">
        <f aca="false">IFERROR(L20/K20,0)</f>
        <v>0.661538461538462</v>
      </c>
    </row>
    <row r="21" customFormat="false" ht="15" hidden="false" customHeight="false" outlineLevel="0" collapsed="false">
      <c r="A21" s="6" t="s">
        <v>90</v>
      </c>
      <c r="B21" s="6" t="s">
        <v>91</v>
      </c>
      <c r="C21" s="6" t="s">
        <v>59</v>
      </c>
      <c r="D21" s="6" t="s">
        <v>107</v>
      </c>
      <c r="E21" s="7"/>
      <c r="F21" s="8" t="n">
        <v>5.28</v>
      </c>
      <c r="G21" s="8" t="n">
        <v>0</v>
      </c>
      <c r="H21" s="9" t="n">
        <f aca="false">F21+G21</f>
        <v>5.28</v>
      </c>
      <c r="I21" s="10" t="n">
        <v>2.0208</v>
      </c>
      <c r="J21" s="9" t="n">
        <f aca="false">ROUND(H21*(1+I21),2)</f>
        <v>15.95</v>
      </c>
      <c r="K21" s="9" t="n">
        <v>15.95</v>
      </c>
      <c r="L21" s="9" t="n">
        <f aca="false">J21-H21</f>
        <v>10.67</v>
      </c>
      <c r="M21" s="11" t="n">
        <f aca="false">IFERROR(L21/K21,0)</f>
        <v>0.668965517241379</v>
      </c>
    </row>
    <row r="22" customFormat="false" ht="15" hidden="false" customHeight="false" outlineLevel="0" collapsed="false">
      <c r="A22" s="6" t="s">
        <v>92</v>
      </c>
      <c r="B22" s="6" t="s">
        <v>93</v>
      </c>
      <c r="C22" s="6" t="s">
        <v>59</v>
      </c>
      <c r="D22" s="6" t="s">
        <v>107</v>
      </c>
      <c r="E22" s="7"/>
      <c r="F22" s="8" t="n">
        <v>5.96</v>
      </c>
      <c r="G22" s="8" t="n">
        <v>0</v>
      </c>
      <c r="H22" s="9" t="n">
        <f aca="false">F22+G22</f>
        <v>5.96</v>
      </c>
      <c r="I22" s="10" t="n">
        <v>2.0117</v>
      </c>
      <c r="J22" s="9" t="n">
        <f aca="false">ROUND(H22*(1+I22),2)</f>
        <v>17.95</v>
      </c>
      <c r="K22" s="9" t="n">
        <v>17.95</v>
      </c>
      <c r="L22" s="9" t="n">
        <f aca="false">J22-H22</f>
        <v>11.99</v>
      </c>
      <c r="M22" s="11" t="n">
        <f aca="false">IFERROR(L22/K22,0)</f>
        <v>0.667966573816156</v>
      </c>
    </row>
    <row r="23" customFormat="false" ht="15" hidden="false" customHeight="false" outlineLevel="0" collapsed="false">
      <c r="A23" s="6" t="s">
        <v>94</v>
      </c>
      <c r="B23" s="6" t="s">
        <v>95</v>
      </c>
      <c r="C23" s="6" t="s">
        <v>59</v>
      </c>
      <c r="D23" s="6" t="s">
        <v>107</v>
      </c>
      <c r="E23" s="7"/>
      <c r="F23" s="8" t="n">
        <v>19.53</v>
      </c>
      <c r="G23" s="8" t="n">
        <v>0</v>
      </c>
      <c r="H23" s="9" t="n">
        <f aca="false">F23+G23</f>
        <v>19.53</v>
      </c>
      <c r="I23" s="10" t="n">
        <v>1.3016</v>
      </c>
      <c r="J23" s="9" t="n">
        <f aca="false">ROUND(H23*(1+I23),2)</f>
        <v>44.95</v>
      </c>
      <c r="K23" s="9" t="n">
        <v>44.95</v>
      </c>
      <c r="L23" s="9" t="n">
        <f aca="false">J23-H23</f>
        <v>25.42</v>
      </c>
      <c r="M23" s="11" t="n">
        <f aca="false">IFERROR(L23/K23,0)</f>
        <v>0.56551724137931</v>
      </c>
    </row>
    <row r="24" customFormat="false" ht="15" hidden="false" customHeight="false" outlineLevel="0" collapsed="false">
      <c r="A24" s="6" t="s">
        <v>97</v>
      </c>
      <c r="B24" s="6" t="s">
        <v>98</v>
      </c>
      <c r="C24" s="6" t="s">
        <v>99</v>
      </c>
      <c r="D24" s="6" t="s">
        <v>121</v>
      </c>
      <c r="E24" s="7" t="s">
        <v>100</v>
      </c>
      <c r="F24" s="8" t="n">
        <v>7.4</v>
      </c>
      <c r="G24" s="8" t="n">
        <v>3.12</v>
      </c>
      <c r="H24" s="9" t="n">
        <f aca="false">F24+G24</f>
        <v>10.52</v>
      </c>
      <c r="I24" s="10" t="n">
        <v>1.0865</v>
      </c>
      <c r="J24" s="9" t="n">
        <f aca="false">ROUND(H24*(1+I24),2)</f>
        <v>21.95</v>
      </c>
      <c r="K24" s="9" t="n">
        <v>21.95</v>
      </c>
      <c r="L24" s="9" t="n">
        <f aca="false">J24-H24</f>
        <v>11.43</v>
      </c>
      <c r="M24" s="11" t="n">
        <f aca="false">IFERROR(L24/K24,0)</f>
        <v>0.520728929384966</v>
      </c>
    </row>
    <row r="25" customFormat="false" ht="15" hidden="false" customHeight="false" outlineLevel="0" collapsed="false">
      <c r="A25" s="6" t="s">
        <v>97</v>
      </c>
      <c r="B25" s="6" t="s">
        <v>98</v>
      </c>
      <c r="C25" s="6" t="s">
        <v>99</v>
      </c>
      <c r="D25" s="6" t="s">
        <v>122</v>
      </c>
      <c r="E25" s="7" t="s">
        <v>100</v>
      </c>
      <c r="F25" s="8" t="n">
        <v>11.89</v>
      </c>
      <c r="G25" s="8" t="n">
        <v>3.12</v>
      </c>
      <c r="H25" s="9" t="n">
        <f aca="false">F25+G25</f>
        <v>15.01</v>
      </c>
      <c r="I25" s="10" t="n">
        <v>1.1286</v>
      </c>
      <c r="J25" s="9" t="n">
        <f aca="false">ROUND(H25*(1+I25),2)</f>
        <v>31.95</v>
      </c>
      <c r="K25" s="9" t="n">
        <v>31.95</v>
      </c>
      <c r="L25" s="9" t="n">
        <f aca="false">J25-H25</f>
        <v>16.94</v>
      </c>
      <c r="M25" s="11" t="n">
        <f aca="false">IFERROR(L25/K25,0)</f>
        <v>0.530203442879499</v>
      </c>
    </row>
    <row r="26" customFormat="false" ht="15" hidden="false" customHeight="false" outlineLevel="0" collapsed="false">
      <c r="A26" s="6" t="s">
        <v>97</v>
      </c>
      <c r="B26" s="6" t="s">
        <v>98</v>
      </c>
      <c r="C26" s="6" t="s">
        <v>99</v>
      </c>
      <c r="D26" s="6" t="s">
        <v>123</v>
      </c>
      <c r="E26" s="7" t="s">
        <v>100</v>
      </c>
      <c r="F26" s="8" t="n">
        <v>16.29</v>
      </c>
      <c r="G26" s="8" t="n">
        <v>3.12</v>
      </c>
      <c r="H26" s="9" t="n">
        <f aca="false">F26+G26</f>
        <v>19.41</v>
      </c>
      <c r="I26" s="10" t="n">
        <v>1.1097</v>
      </c>
      <c r="J26" s="9" t="n">
        <f aca="false">ROUND(H26*(1+I26),2)</f>
        <v>40.95</v>
      </c>
      <c r="K26" s="9" t="n">
        <v>40.95</v>
      </c>
      <c r="L26" s="9" t="n">
        <f aca="false">J26-H26</f>
        <v>21.54</v>
      </c>
      <c r="M26" s="11" t="n">
        <f aca="false">IFERROR(L26/K26,0)</f>
        <v>0.526007326007326</v>
      </c>
    </row>
    <row r="27" customFormat="false" ht="15" hidden="false" customHeight="false" outlineLevel="0" collapsed="false">
      <c r="A27" s="6" t="s">
        <v>97</v>
      </c>
      <c r="B27" s="6" t="s">
        <v>98</v>
      </c>
      <c r="C27" s="6" t="s">
        <v>99</v>
      </c>
      <c r="D27" s="6" t="s">
        <v>124</v>
      </c>
      <c r="E27" s="7" t="s">
        <v>100</v>
      </c>
      <c r="F27" s="8" t="n">
        <v>25.19</v>
      </c>
      <c r="G27" s="8" t="n">
        <v>3.12</v>
      </c>
      <c r="H27" s="9" t="n">
        <f aca="false">F27+G27</f>
        <v>28.31</v>
      </c>
      <c r="I27" s="10" t="n">
        <v>1.0823</v>
      </c>
      <c r="J27" s="9" t="n">
        <f aca="false">ROUND(H27*(1+I27),2)</f>
        <v>58.95</v>
      </c>
      <c r="K27" s="9" t="n">
        <v>58.95</v>
      </c>
      <c r="L27" s="9" t="n">
        <f aca="false">J27-H27</f>
        <v>30.64</v>
      </c>
      <c r="M27" s="11" t="n">
        <f aca="false">IFERROR(L27/K27,0)</f>
        <v>0.519762510602205</v>
      </c>
    </row>
    <row r="28" customFormat="false" ht="15" hidden="false" customHeight="false" outlineLevel="0" collapsed="false">
      <c r="A28" s="6" t="s">
        <v>102</v>
      </c>
      <c r="B28" s="6" t="s">
        <v>103</v>
      </c>
      <c r="C28" s="6" t="s">
        <v>99</v>
      </c>
      <c r="D28" s="6" t="s">
        <v>121</v>
      </c>
      <c r="E28" s="7" t="s">
        <v>104</v>
      </c>
      <c r="F28" s="8" t="n">
        <v>8.28</v>
      </c>
      <c r="G28" s="8" t="n">
        <v>0</v>
      </c>
      <c r="H28" s="9" t="n">
        <f aca="false">F28+G28</f>
        <v>8.28</v>
      </c>
      <c r="I28" s="10" t="n">
        <v>1.1679</v>
      </c>
      <c r="J28" s="9" t="n">
        <f aca="false">ROUND(H28*(1+I28),2)</f>
        <v>17.95</v>
      </c>
      <c r="K28" s="9" t="n">
        <v>17.95</v>
      </c>
      <c r="L28" s="9" t="n">
        <f aca="false">J28-H28</f>
        <v>9.67</v>
      </c>
      <c r="M28" s="11" t="n">
        <f aca="false">IFERROR(L28/K28,0)</f>
        <v>0.538718662952646</v>
      </c>
    </row>
    <row r="29" customFormat="false" ht="15" hidden="false" customHeight="false" outlineLevel="0" collapsed="false">
      <c r="A29" s="6" t="s">
        <v>102</v>
      </c>
      <c r="B29" s="6" t="s">
        <v>103</v>
      </c>
      <c r="C29" s="6" t="s">
        <v>99</v>
      </c>
      <c r="D29" s="6" t="s">
        <v>122</v>
      </c>
      <c r="E29" s="7" t="s">
        <v>104</v>
      </c>
      <c r="F29" s="8" t="n">
        <v>11.86</v>
      </c>
      <c r="G29" s="8" t="n">
        <v>0</v>
      </c>
      <c r="H29" s="9" t="n">
        <f aca="false">F29+G29</f>
        <v>11.86</v>
      </c>
      <c r="I29" s="10" t="n">
        <v>1.1037</v>
      </c>
      <c r="J29" s="9" t="n">
        <f aca="false">ROUND(H29*(1+I29),2)</f>
        <v>24.95</v>
      </c>
      <c r="K29" s="9" t="n">
        <v>24.95</v>
      </c>
      <c r="L29" s="9" t="n">
        <f aca="false">J29-H29</f>
        <v>13.09</v>
      </c>
      <c r="M29" s="11" t="n">
        <f aca="false">IFERROR(L29/K29,0)</f>
        <v>0.524649298597194</v>
      </c>
    </row>
    <row r="31" customFormat="false" ht="15" hidden="false" customHeight="true" outlineLevel="0" collapsed="false">
      <c r="A31" s="16" t="s">
        <v>125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</row>
  </sheetData>
  <mergeCells count="1">
    <mergeCell ref="A31:M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2026-08-10T14:57:00Z</dcterms:created>
  <dc:creator>openpyxl</dc:creator>
  <dc:description/>
  <dc:language>en-US</dc:language>
  <cp:lastModifiedBy/>
  <dcterms:modified xsi:type="dcterms:W3CDTF">2026-08-10T14:57:00Z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