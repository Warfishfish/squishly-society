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du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<sst xmlns="http://schemas.openxmlformats.org/spreadsheetml/2006/main" count="372" uniqueCount="202">
  <si>
    <t xml:space="preserve">Squishy Society — Product Pricing &amp; Sourcing Tracker</t>
  </si>
  <si>
    <t xml:space="preserve">Generated from the live site catalogue (products.js). One row per product currently listed on squishly.netlify.app.</t>
  </si>
  <si>
    <t xml:space="preserve">HOW TO USE THIS SHEET</t>
  </si>
  <si>
    <t xml:space="preserve">1. The 'Products' tab has one row per item in the shop, in the same order as the site.</t>
  </si>
  <si>
    <t xml:space="preserve">2. Blue cells are yours to edit: AliExpress URL, AliExpress Price, Shipping Cost, and Markup %.</t>
  </si>
  <si>
    <t xml:space="preserve">3. Black cells are formulas that recalculate automatically — don't type over them.</t>
  </si>
  <si>
    <t xml:space="preserve">4. 'Recommended Sell Price' = (AliExpress Price + Shipping) x (1 + Markup %). Change the Markup %</t>
  </si>
  <si>
    <t xml:space="preserve">   cell for any row to see a new recommended price instantly.</t>
  </si>
  <si>
    <t xml:space="preserve">5. 'Current Site Price' just shows what's live on the site right now, for comparison — it does NOT</t>
  </si>
  <si>
    <t xml:space="preserve">   update automatically. If you change a price here and like it, you (or I) still need to update</t>
  </si>
  <si>
    <t xml:space="preserve">   products.js and push to GitHub for it to go live.</t>
  </si>
  <si>
    <t xml:space="preserve">ABOUT THE URL AND SHIPPING COLUMNS</t>
  </si>
  <si>
    <t xml:space="preserve">- For the two Prism Cube products (sq-063, sq-064) the AliExpress URL and shipping cost are the</t>
  </si>
  <si>
    <t xml:space="preserve">  real listings I sourced them from at time of writing.</t>
  </si>
  <si>
    <t xml:space="preserve">- For the other 62 products, the URL column is blank. When the catalogue was first built, only</t>
  </si>
  <si>
    <t xml:space="preserve">  product photos, ratings, and price were saved — not the listing link itself. Re-finding the exact</t>
  </si>
  <si>
    <t xml:space="preserve">  original listing for all 62 by search isn't reliable (AliExpress has many near-identical sellers,</t>
  </si>
  <si>
    <t xml:space="preserve">  and a name search often surfaces a different listing to the one actually sourced) so rather than</t>
  </si>
  <si>
    <t xml:space="preserve">  guess and risk a wrong link, those are left blank for you to fill in — see next point.</t>
  </si>
  <si>
    <t xml:space="preserve">- Going forward: fill in the URL yourself whenever you check a listing, reorder, or switch supplier.</t>
  </si>
  <si>
    <t xml:space="preserve">  That's also the plan for new products from now on — I'll capture the URL and shipping cost at the</t>
  </si>
  <si>
    <t xml:space="preserve">  time I add them, so this sheet stays accurate without needing a fresh scrape.</t>
  </si>
  <si>
    <t xml:space="preserve">- Shipping Cost is set to $0 for the 62 legacy rows as a placeholder (unknown, not necessarily free) —</t>
  </si>
  <si>
    <t xml:space="preserve">  check the real figure next time you're on that listing and update it; it flows straight into the</t>
  </si>
  <si>
    <t xml:space="preserve">  Landed Cost and Recommended Price formulas once you do.</t>
  </si>
  <si>
    <t xml:space="preserve">ABOUT MARKUP</t>
  </si>
  <si>
    <t xml:space="preserve">- Markup % is pre-filled with whatever markup the current site price already implies, so this sheet</t>
  </si>
  <si>
    <t xml:space="preserve">  starts in sync with your live prices. Adjust freely — a common squishy/novelty retail range is</t>
  </si>
  <si>
    <t xml:space="preserve">  roughly 80%-180% markup on landed cost, which comfortably undercuts typical physical gift-shop or</t>
  </si>
  <si>
    <t xml:space="preserve">  novelty-store pricing while still leaving healthy margin after AliExpress and shipping costs. This</t>
  </si>
  <si>
    <t xml:space="preserve">  is a general guideline, not a verified competitor price check.</t>
  </si>
  <si>
    <t xml:space="preserve">- The Prism Cube category has a higher input cost, so a lower percentage markup can still mean a</t>
  </si>
  <si>
    <t xml:space="preserve">  higher dollar profit — the sheet shows both Profit ($) and Profit Margin (%) so you can judge by</t>
  </si>
  <si>
    <t xml:space="preserve">  either.</t>
  </si>
  <si>
    <t xml:space="preserve">Product ID</t>
  </si>
  <si>
    <t xml:space="preserve">Product Name</t>
  </si>
  <si>
    <t xml:space="preserve">Category</t>
  </si>
  <si>
    <t xml:space="preserve">AliExpress URL</t>
  </si>
  <si>
    <t xml:space="preserve">AliExpress Price (AUD)</t>
  </si>
  <si>
    <t xml:space="preserve">Shipping Cost (AUD)</t>
  </si>
  <si>
    <t xml:space="preserve">Landed Cost (AUD)</t>
  </si>
  <si>
    <t xml:space="preserve">Markup %</t>
  </si>
  <si>
    <t xml:space="preserve">Recommended Sell Price (AUD)</t>
  </si>
  <si>
    <t xml:space="preserve">Current Site Price (AUD)</t>
  </si>
  <si>
    <t xml:space="preserve">Profit (AUD)</t>
  </si>
  <si>
    <t xml:space="preserve">Profit Margin %</t>
  </si>
  <si>
    <t xml:space="preserve">Source Rating</t>
  </si>
  <si>
    <t xml:space="preserve">Source Reviews/Sold</t>
  </si>
  <si>
    <t xml:space="preserve">Notes</t>
  </si>
  <si>
    <t xml:space="preserve">sq-001</t>
  </si>
  <si>
    <t xml:space="preserve">Coconut Mochi Squeeze Ball</t>
  </si>
  <si>
    <t xml:space="preserve">Mochi</t>
  </si>
  <si>
    <t xml:space="preserve">10,000+</t>
  </si>
  <si>
    <t xml:space="preserve">URL not saved from original scrape — add manually; shipping unknown, treated as $0</t>
  </si>
  <si>
    <t xml:space="preserve">sq-002</t>
  </si>
  <si>
    <t xml:space="preserve">Glow-in-the-Dark Mochi Animal Pack</t>
  </si>
  <si>
    <t xml:space="preserve">4,000+</t>
  </si>
  <si>
    <t xml:space="preserve">sq-003</t>
  </si>
  <si>
    <t xml:space="preserve">Jumbo Squishy Duck</t>
  </si>
  <si>
    <t xml:space="preserve">Jumbo</t>
  </si>
  <si>
    <t xml:space="preserve">sq-004</t>
  </si>
  <si>
    <t xml:space="preserve">Jumbo Strawberry Squishy</t>
  </si>
  <si>
    <t xml:space="preserve">600+</t>
  </si>
  <si>
    <t xml:space="preserve">sq-005</t>
  </si>
  <si>
    <t xml:space="preserve">Kawaii Cat Silicone Squishy</t>
  </si>
  <si>
    <t xml:space="preserve">Animals</t>
  </si>
  <si>
    <t xml:space="preserve">1,000+</t>
  </si>
  <si>
    <t xml:space="preserve">sq-006</t>
  </si>
  <si>
    <t xml:space="preserve">Slow-Rise Cat Squishy</t>
  </si>
  <si>
    <t xml:space="preserve">sq-007</t>
  </si>
  <si>
    <t xml:space="preserve">Butter Stick Squishy</t>
  </si>
  <si>
    <t xml:space="preserve">Food-shaped</t>
  </si>
  <si>
    <t xml:space="preserve">2,000+</t>
  </si>
  <si>
    <t xml:space="preserve">sq-008</t>
  </si>
  <si>
    <t xml:space="preserve">Glitter Dumpling Squishy</t>
  </si>
  <si>
    <t xml:space="preserve">sq-009</t>
  </si>
  <si>
    <t xml:space="preserve">Peanut Stress Squish</t>
  </si>
  <si>
    <t xml:space="preserve">Fidget</t>
  </si>
  <si>
    <t xml:space="preserve">sq-010</t>
  </si>
  <si>
    <t xml:space="preserve">Green Apple Squish Ball</t>
  </si>
  <si>
    <t xml:space="preserve">sq-011</t>
  </si>
  <si>
    <t xml:space="preserve">Mini Dumpling Keychain</t>
  </si>
  <si>
    <t xml:space="preserve">Keychain</t>
  </si>
  <si>
    <t xml:space="preserve">140+</t>
  </si>
  <si>
    <t xml:space="preserve">sq-012</t>
  </si>
  <si>
    <t xml:space="preserve">Polar Bear Pinch Keychain</t>
  </si>
  <si>
    <t xml:space="preserve">sq-013</t>
  </si>
  <si>
    <t xml:space="preserve">Clicker Button Fidget Keychain</t>
  </si>
  <si>
    <t xml:space="preserve">sq-014</t>
  </si>
  <si>
    <t xml:space="preserve">Polar Bear Lunchbox Squish Keychain</t>
  </si>
  <si>
    <t xml:space="preserve">sq-015</t>
  </si>
  <si>
    <t xml:space="preserve">Cartoon Bear Squeak Keychain</t>
  </si>
  <si>
    <t xml:space="preserve">sq-016</t>
  </si>
  <si>
    <t xml:space="preserve">Star Plush Squeak Keychain</t>
  </si>
  <si>
    <t xml:space="preserve">500+</t>
  </si>
  <si>
    <t xml:space="preserve">sq-017</t>
  </si>
  <si>
    <t xml:space="preserve">Bear Bento Squish Bag Charm</t>
  </si>
  <si>
    <t xml:space="preserve">sq-018</t>
  </si>
  <si>
    <t xml:space="preserve">Keyboard Clicker Fidget Keychain</t>
  </si>
  <si>
    <t xml:space="preserve">sq-019</t>
  </si>
  <si>
    <t xml:space="preserve">Clear Mochi Squeeze Blob</t>
  </si>
  <si>
    <t xml:space="preserve">5,000+</t>
  </si>
  <si>
    <t xml:space="preserve">sq-020</t>
  </si>
  <si>
    <t xml:space="preserve">Pink Ice Ball Mochi Squish</t>
  </si>
  <si>
    <t xml:space="preserve">sq-021</t>
  </si>
  <si>
    <t xml:space="preserve">Strawberry Mochi Squeeze Toy</t>
  </si>
  <si>
    <t xml:space="preserve">sq-022</t>
  </si>
  <si>
    <t xml:space="preserve">Blue Maltose Mochi Ball</t>
  </si>
  <si>
    <t xml:space="preserve">sq-023</t>
  </si>
  <si>
    <t xml:space="preserve">Mochi Animal Mega Pack (50pc)</t>
  </si>
  <si>
    <t xml:space="preserve">3,000+</t>
  </si>
  <si>
    <t xml:space="preserve">URL not saved from original scrape — add manually; shipping unknown, treated as $0; Mystery/blind pick</t>
  </si>
  <si>
    <t xml:space="preserve">sq-024</t>
  </si>
  <si>
    <t xml:space="preserve">Ocean Sensory Stress Ball</t>
  </si>
  <si>
    <t xml:space="preserve">sq-025</t>
  </si>
  <si>
    <t xml:space="preserve">Slow-Rise Sensory Cube</t>
  </si>
  <si>
    <t xml:space="preserve">sq-026</t>
  </si>
  <si>
    <t xml:space="preserve">Mystery Squishy Blind Box</t>
  </si>
  <si>
    <t xml:space="preserve">sq-027</t>
  </si>
  <si>
    <t xml:space="preserve">Crunchy Soap Bar Squish Ball</t>
  </si>
  <si>
    <t xml:space="preserve">sq-028</t>
  </si>
  <si>
    <t xml:space="preserve">Anti-Anxiety Squish Ball</t>
  </si>
  <si>
    <t xml:space="preserve">sq-029</t>
  </si>
  <si>
    <t xml:space="preserve">Ocean Squish Cube</t>
  </si>
  <si>
    <t xml:space="preserve">sq-030</t>
  </si>
  <si>
    <t xml:space="preserve">Gel-Filled Squish Cube</t>
  </si>
  <si>
    <t xml:space="preserve">sq-031</t>
  </si>
  <si>
    <t xml:space="preserve">Rainbow 3D Sensory Ball</t>
  </si>
  <si>
    <t xml:space="preserve">sq-032</t>
  </si>
  <si>
    <t xml:space="preserve">Giant Strawberry Squishy</t>
  </si>
  <si>
    <t xml:space="preserve">sq-033</t>
  </si>
  <si>
    <t xml:space="preserve">Giant Cheese Cube Squish</t>
  </si>
  <si>
    <t xml:space="preserve">sq-034</t>
  </si>
  <si>
    <t xml:space="preserve">Popcorn Bucket Squishy</t>
  </si>
  <si>
    <t xml:space="preserve">sq-035</t>
  </si>
  <si>
    <t xml:space="preserve">Jumbo Cheese Squish Block</t>
  </si>
  <si>
    <t xml:space="preserve">sq-036</t>
  </si>
  <si>
    <t xml:space="preserve">Salamander Malt Squish</t>
  </si>
  <si>
    <t xml:space="preserve">sq-037</t>
  </si>
  <si>
    <t xml:space="preserve">Aurora Glitter Duck Squish</t>
  </si>
  <si>
    <t xml:space="preserve">sq-038</t>
  </si>
  <si>
    <t xml:space="preserve">Axolotl Squeeze Ball</t>
  </si>
  <si>
    <t xml:space="preserve">sq-039</t>
  </si>
  <si>
    <t xml:space="preserve">Unicorn Slow-Rise Squishy</t>
  </si>
  <si>
    <t xml:space="preserve">sq-040</t>
  </si>
  <si>
    <t xml:space="preserve">Big Chicken Slow-Rise Squishy</t>
  </si>
  <si>
    <t xml:space="preserve">sq-041</t>
  </si>
  <si>
    <t xml:space="preserve">Cat Paw Squish Toy</t>
  </si>
  <si>
    <t xml:space="preserve">sq-042</t>
  </si>
  <si>
    <t xml:space="preserve">Octopus Squish Toy</t>
  </si>
  <si>
    <t xml:space="preserve">sq-043</t>
  </si>
  <si>
    <t xml:space="preserve">Glitter Gummy Capybara</t>
  </si>
  <si>
    <t xml:space="preserve">800+</t>
  </si>
  <si>
    <t xml:space="preserve">sq-044</t>
  </si>
  <si>
    <t xml:space="preserve">Glitter Turtle Squish</t>
  </si>
  <si>
    <t xml:space="preserve">sq-045</t>
  </si>
  <si>
    <t xml:space="preserve">Capybara Bakery Squishy</t>
  </si>
  <si>
    <t xml:space="preserve">sq-046</t>
  </si>
  <si>
    <t xml:space="preserve">Glitter Bear Slow-Rise Squishy</t>
  </si>
  <si>
    <t xml:space="preserve">sq-047</t>
  </si>
  <si>
    <t xml:space="preserve">Colour-Changing Mango Squish</t>
  </si>
  <si>
    <t xml:space="preserve">sq-048</t>
  </si>
  <si>
    <t xml:space="preserve">Rainbow Dumpling Basket Squishy</t>
  </si>
  <si>
    <t xml:space="preserve">sq-049</t>
  </si>
  <si>
    <t xml:space="preserve">Mini Toast Slice Squishy</t>
  </si>
  <si>
    <t xml:space="preserve">sq-050</t>
  </si>
  <si>
    <t xml:space="preserve">Gold Glitter Dumpling Squishy</t>
  </si>
  <si>
    <t xml:space="preserve">sq-051</t>
  </si>
  <si>
    <t xml:space="preserve">Snack Trio Squish Set</t>
  </si>
  <si>
    <t xml:space="preserve">sq-052</t>
  </si>
  <si>
    <t xml:space="preserve">Double-Sided Rice Cake Squishy</t>
  </si>
  <si>
    <t xml:space="preserve">sq-053</t>
  </si>
  <si>
    <t xml:space="preserve">Crispy Mango Stress Ball</t>
  </si>
  <si>
    <t xml:space="preserve">sq-054</t>
  </si>
  <si>
    <t xml:space="preserve">LED Glow Bun Squishy</t>
  </si>
  <si>
    <t xml:space="preserve">sq-055</t>
  </si>
  <si>
    <t xml:space="preserve">Dragon Fruit Squish Ball</t>
  </si>
  <si>
    <t xml:space="preserve">sq-056</t>
  </si>
  <si>
    <t xml:space="preserve">Butter Toast Squishy</t>
  </si>
  <si>
    <t xml:space="preserve">sq-057</t>
  </si>
  <si>
    <t xml:space="preserve">Durian &amp; Dragon Fruit Crunch Set</t>
  </si>
  <si>
    <t xml:space="preserve">URL not saved from original scrape — add manually; shipping unknown, treated as $0; Currently in "Just landed"</t>
  </si>
  <si>
    <t xml:space="preserve">sq-058</t>
  </si>
  <si>
    <t xml:space="preserve">Mini Food Squishy Variety Pack</t>
  </si>
  <si>
    <t xml:space="preserve">sq-059</t>
  </si>
  <si>
    <t xml:space="preserve">Pink Steamed Bun Squishy</t>
  </si>
  <si>
    <t xml:space="preserve">sq-060</t>
  </si>
  <si>
    <t xml:space="preserve">Big Cookie Squishy</t>
  </si>
  <si>
    <t xml:space="preserve">sq-061</t>
  </si>
  <si>
    <t xml:space="preserve">Grape Bunch Squish Toy</t>
  </si>
  <si>
    <t xml:space="preserve">sq-062</t>
  </si>
  <si>
    <t xml:space="preserve">Grilled Rice Cake Squishy</t>
  </si>
  <si>
    <t xml:space="preserve">sq-063</t>
  </si>
  <si>
    <t xml:space="preserve">Rainbow Prism Cube</t>
  </si>
  <si>
    <t xml:space="preserve">Prism Cubes</t>
  </si>
  <si>
    <t xml:space="preserve">https://www.aliexpress.com/item/1005005399618112.html</t>
  </si>
  <si>
    <t xml:space="preserve">Currently in "Just landed"</t>
  </si>
  <si>
    <t xml:space="preserve">sq-064</t>
  </si>
  <si>
    <t xml:space="preserve">Studio Light Prism Cube</t>
  </si>
  <si>
    <t xml:space="preserve">https://www.aliexpress.com/item/1005009157109845.html</t>
  </si>
  <si>
    <t xml:space="preserve">700+</t>
  </si>
  <si>
    <t xml:space="preserve">TOTAL /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</si>
</sst>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3" t="s">
        <v>24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3" t="s">
        <v>29</v>
      </c>
    </row>
    <row r="35" customFormat="false" ht="15" hidden="false" customHeight="false" outlineLevel="0" collapsed="false">
      <c r="A35" s="3" t="s">
        <v>30</v>
      </c>
    </row>
    <row r="36" customFormat="false" ht="15" hidden="false" customHeight="false" outlineLevel="0" collapsed="false">
      <c r="A36" s="3" t="s">
        <v>31</v>
      </c>
    </row>
    <row r="37" customFormat="false" ht="15" hidden="false" customHeight="false" outlineLevel="0" collapsed="false">
      <c r="A37" s="3" t="s">
        <v>32</v>
      </c>
    </row>
    <row r="38" customFormat="false" ht="15" hidden="false" customHeight="false" outlineLevel="0" collapsed="false">
      <c r="A38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46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</row>
    <row r="2" customFormat="false" ht="15" hidden="false" customHeight="false" outlineLevel="0" collapsed="false">
      <c r="A2" s="6" t="s">
        <v>49</v>
      </c>
      <c r="B2" s="6" t="s">
        <v>50</v>
      </c>
      <c r="C2" s="6" t="s">
        <v>51</v>
      </c>
      <c r="D2" s="7"/>
      <c r="E2" s="8" t="n">
        <v>6.22</v>
      </c>
      <c r="F2" s="8" t="n">
        <v>0</v>
      </c>
      <c r="G2" s="9" t="n">
        <f aca="false">E2+F2</f>
        <v>6.22</v>
      </c>
      <c r="H2" s="10" t="n">
        <v>2.0466</v>
      </c>
      <c r="I2" s="9" t="n">
        <f aca="false">ROUND(G2*(1+H2),2)</f>
        <v>18.95</v>
      </c>
      <c r="J2" s="9" t="n">
        <v>18.95</v>
      </c>
      <c r="K2" s="9" t="n">
        <f aca="false">I2-G2</f>
        <v>12.73</v>
      </c>
      <c r="L2" s="11" t="n">
        <f aca="false">IFERROR(K2/I2,0)</f>
        <v>0.671767810026385</v>
      </c>
      <c r="M2" s="6" t="n">
        <v>4.7</v>
      </c>
      <c r="N2" s="6" t="s">
        <v>52</v>
      </c>
      <c r="O2" s="12" t="s">
        <v>53</v>
      </c>
    </row>
    <row r="3" customFormat="false" ht="15" hidden="false" customHeight="false" outlineLevel="0" collapsed="false">
      <c r="A3" s="6" t="s">
        <v>54</v>
      </c>
      <c r="B3" s="6" t="s">
        <v>55</v>
      </c>
      <c r="C3" s="6" t="s">
        <v>51</v>
      </c>
      <c r="D3" s="7"/>
      <c r="E3" s="8" t="n">
        <v>4.82</v>
      </c>
      <c r="F3" s="8" t="n">
        <v>0</v>
      </c>
      <c r="G3" s="9" t="n">
        <f aca="false">E3+F3</f>
        <v>4.82</v>
      </c>
      <c r="H3" s="10" t="n">
        <v>2.3091</v>
      </c>
      <c r="I3" s="9" t="n">
        <f aca="false">ROUND(G3*(1+H3),2)</f>
        <v>15.95</v>
      </c>
      <c r="J3" s="9" t="n">
        <v>15.95</v>
      </c>
      <c r="K3" s="9" t="n">
        <f aca="false">I3-G3</f>
        <v>11.13</v>
      </c>
      <c r="L3" s="11" t="n">
        <f aca="false">IFERROR(K3/I3,0)</f>
        <v>0.697805642633229</v>
      </c>
      <c r="M3" s="6" t="n">
        <v>4.9</v>
      </c>
      <c r="N3" s="6" t="s">
        <v>56</v>
      </c>
      <c r="O3" s="12" t="s">
        <v>53</v>
      </c>
    </row>
    <row r="4" customFormat="false" ht="15" hidden="false" customHeight="false" outlineLevel="0" collapsed="false">
      <c r="A4" s="6" t="s">
        <v>57</v>
      </c>
      <c r="B4" s="6" t="s">
        <v>58</v>
      </c>
      <c r="C4" s="6" t="s">
        <v>59</v>
      </c>
      <c r="D4" s="7"/>
      <c r="E4" s="8" t="n">
        <v>23.75</v>
      </c>
      <c r="F4" s="8" t="n">
        <v>0</v>
      </c>
      <c r="G4" s="9" t="n">
        <f aca="false">E4+F4</f>
        <v>23.75</v>
      </c>
      <c r="H4" s="10" t="n">
        <v>0.8926</v>
      </c>
      <c r="I4" s="9" t="n">
        <f aca="false">ROUND(G4*(1+H4),2)</f>
        <v>44.95</v>
      </c>
      <c r="J4" s="9" t="n">
        <v>44.95</v>
      </c>
      <c r="K4" s="9" t="n">
        <f aca="false">I4-G4</f>
        <v>21.2</v>
      </c>
      <c r="L4" s="11" t="n">
        <f aca="false">IFERROR(K4/I4,0)</f>
        <v>0.471635150166852</v>
      </c>
      <c r="M4" s="6" t="n">
        <v>4.5</v>
      </c>
      <c r="N4" s="6" t="s">
        <v>52</v>
      </c>
      <c r="O4" s="12" t="s">
        <v>53</v>
      </c>
    </row>
    <row r="5" customFormat="false" ht="15" hidden="false" customHeight="false" outlineLevel="0" collapsed="false">
      <c r="A5" s="6" t="s">
        <v>60</v>
      </c>
      <c r="B5" s="6" t="s">
        <v>61</v>
      </c>
      <c r="C5" s="6" t="s">
        <v>59</v>
      </c>
      <c r="D5" s="7"/>
      <c r="E5" s="8" t="n">
        <v>5.71</v>
      </c>
      <c r="F5" s="8" t="n">
        <v>0</v>
      </c>
      <c r="G5" s="9" t="n">
        <f aca="false">E5+F5</f>
        <v>5.71</v>
      </c>
      <c r="H5" s="10" t="n">
        <v>1.6182</v>
      </c>
      <c r="I5" s="9" t="n">
        <f aca="false">ROUND(G5*(1+H5),2)</f>
        <v>14.95</v>
      </c>
      <c r="J5" s="9" t="n">
        <v>14.95</v>
      </c>
      <c r="K5" s="9" t="n">
        <f aca="false">I5-G5</f>
        <v>9.24</v>
      </c>
      <c r="L5" s="11" t="n">
        <f aca="false">IFERROR(K5/I5,0)</f>
        <v>0.618060200668896</v>
      </c>
      <c r="M5" s="6" t="n">
        <v>3.8</v>
      </c>
      <c r="N5" s="6" t="s">
        <v>62</v>
      </c>
      <c r="O5" s="12" t="s">
        <v>53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7"/>
      <c r="E6" s="8" t="n">
        <v>8.56</v>
      </c>
      <c r="F6" s="8" t="n">
        <v>0</v>
      </c>
      <c r="G6" s="9" t="n">
        <f aca="false">E6+F6</f>
        <v>8.56</v>
      </c>
      <c r="H6" s="10" t="n">
        <v>1.6811</v>
      </c>
      <c r="I6" s="9" t="n">
        <f aca="false">ROUND(G6*(1+H6),2)</f>
        <v>22.95</v>
      </c>
      <c r="J6" s="9" t="n">
        <v>22.95</v>
      </c>
      <c r="K6" s="9" t="n">
        <f aca="false">I6-G6</f>
        <v>14.39</v>
      </c>
      <c r="L6" s="11" t="n">
        <f aca="false">IFERROR(K6/I6,0)</f>
        <v>0.627015250544662</v>
      </c>
      <c r="M6" s="6" t="n">
        <v>4.3</v>
      </c>
      <c r="N6" s="6" t="s">
        <v>66</v>
      </c>
      <c r="O6" s="12" t="s">
        <v>53</v>
      </c>
    </row>
    <row r="7" customFormat="false" ht="15" hidden="false" customHeight="false" outlineLevel="0" collapsed="false">
      <c r="A7" s="6" t="s">
        <v>67</v>
      </c>
      <c r="B7" s="6" t="s">
        <v>68</v>
      </c>
      <c r="C7" s="6" t="s">
        <v>65</v>
      </c>
      <c r="D7" s="7"/>
      <c r="E7" s="8" t="n">
        <v>2.31</v>
      </c>
      <c r="F7" s="8" t="n">
        <v>0</v>
      </c>
      <c r="G7" s="9" t="n">
        <f aca="false">E7+F7</f>
        <v>2.31</v>
      </c>
      <c r="H7" s="10" t="n">
        <v>2.8745</v>
      </c>
      <c r="I7" s="9" t="n">
        <f aca="false">ROUND(G7*(1+H7),2)</f>
        <v>8.95</v>
      </c>
      <c r="J7" s="9" t="n">
        <v>8.95</v>
      </c>
      <c r="K7" s="9" t="n">
        <f aca="false">I7-G7</f>
        <v>6.64</v>
      </c>
      <c r="L7" s="11" t="n">
        <f aca="false">IFERROR(K7/I7,0)</f>
        <v>0.741899441340782</v>
      </c>
      <c r="M7" s="6" t="n">
        <v>4.3</v>
      </c>
      <c r="N7" s="6" t="s">
        <v>56</v>
      </c>
      <c r="O7" s="12" t="s">
        <v>53</v>
      </c>
    </row>
    <row r="8" customFormat="false" ht="15" hidden="false" customHeight="false" outlineLevel="0" collapsed="false">
      <c r="A8" s="6" t="s">
        <v>69</v>
      </c>
      <c r="B8" s="6" t="s">
        <v>70</v>
      </c>
      <c r="C8" s="6" t="s">
        <v>71</v>
      </c>
      <c r="D8" s="7"/>
      <c r="E8" s="8" t="n">
        <v>3.71</v>
      </c>
      <c r="F8" s="8" t="n">
        <v>0</v>
      </c>
      <c r="G8" s="9" t="n">
        <f aca="false">E8+F8</f>
        <v>3.71</v>
      </c>
      <c r="H8" s="10" t="n">
        <v>2.4906</v>
      </c>
      <c r="I8" s="9" t="n">
        <f aca="false">ROUND(G8*(1+H8),2)</f>
        <v>12.95</v>
      </c>
      <c r="J8" s="9" t="n">
        <v>12.95</v>
      </c>
      <c r="K8" s="9" t="n">
        <f aca="false">I8-G8</f>
        <v>9.24</v>
      </c>
      <c r="L8" s="11" t="n">
        <f aca="false">IFERROR(K8/I8,0)</f>
        <v>0.713513513513513</v>
      </c>
      <c r="M8" s="6" t="n">
        <v>4.5</v>
      </c>
      <c r="N8" s="6" t="s">
        <v>72</v>
      </c>
      <c r="O8" s="12" t="s">
        <v>53</v>
      </c>
    </row>
    <row r="9" customFormat="false" ht="15" hidden="false" customHeight="false" outlineLevel="0" collapsed="false">
      <c r="A9" s="6" t="s">
        <v>73</v>
      </c>
      <c r="B9" s="6" t="s">
        <v>74</v>
      </c>
      <c r="C9" s="6" t="s">
        <v>71</v>
      </c>
      <c r="D9" s="7"/>
      <c r="E9" s="8" t="n">
        <v>1.43</v>
      </c>
      <c r="F9" s="8" t="n">
        <v>0</v>
      </c>
      <c r="G9" s="9" t="n">
        <f aca="false">E9+F9</f>
        <v>1.43</v>
      </c>
      <c r="H9" s="10" t="n">
        <v>3.8601</v>
      </c>
      <c r="I9" s="9" t="n">
        <f aca="false">ROUND(G9*(1+H9),2)</f>
        <v>6.95</v>
      </c>
      <c r="J9" s="9" t="n">
        <v>6.95</v>
      </c>
      <c r="K9" s="9" t="n">
        <f aca="false">I9-G9</f>
        <v>5.52</v>
      </c>
      <c r="L9" s="11" t="n">
        <f aca="false">IFERROR(K9/I9,0)</f>
        <v>0.794244604316547</v>
      </c>
      <c r="M9" s="6" t="n">
        <v>4.3</v>
      </c>
      <c r="N9" s="6" t="s">
        <v>52</v>
      </c>
      <c r="O9" s="12" t="s">
        <v>53</v>
      </c>
    </row>
    <row r="10" customFormat="false" ht="15" hidden="false" customHeight="false" outlineLevel="0" collapsed="false">
      <c r="A10" s="6" t="s">
        <v>75</v>
      </c>
      <c r="B10" s="6" t="s">
        <v>76</v>
      </c>
      <c r="C10" s="6" t="s">
        <v>77</v>
      </c>
      <c r="D10" s="7"/>
      <c r="E10" s="8" t="n">
        <v>5.31</v>
      </c>
      <c r="F10" s="8" t="n">
        <v>0</v>
      </c>
      <c r="G10" s="9" t="n">
        <f aca="false">E10+F10</f>
        <v>5.31</v>
      </c>
      <c r="H10" s="10" t="n">
        <v>0.8738</v>
      </c>
      <c r="I10" s="9" t="n">
        <f aca="false">ROUND(G10*(1+H10),2)</f>
        <v>9.95</v>
      </c>
      <c r="J10" s="9" t="n">
        <v>9.95</v>
      </c>
      <c r="K10" s="9" t="n">
        <f aca="false">I10-G10</f>
        <v>4.64</v>
      </c>
      <c r="L10" s="11" t="n">
        <f aca="false">IFERROR(K10/I10,0)</f>
        <v>0.466331658291457</v>
      </c>
      <c r="M10" s="6" t="n">
        <v>4.6</v>
      </c>
      <c r="N10" s="6" t="s">
        <v>66</v>
      </c>
      <c r="O10" s="12" t="s">
        <v>53</v>
      </c>
    </row>
    <row r="11" customFormat="false" ht="15" hidden="false" customHeight="false" outlineLevel="0" collapsed="false">
      <c r="A11" s="6" t="s">
        <v>78</v>
      </c>
      <c r="B11" s="6" t="s">
        <v>79</v>
      </c>
      <c r="C11" s="6" t="s">
        <v>77</v>
      </c>
      <c r="D11" s="7"/>
      <c r="E11" s="8" t="n">
        <v>5.94</v>
      </c>
      <c r="F11" s="8" t="n">
        <v>0</v>
      </c>
      <c r="G11" s="9" t="n">
        <f aca="false">E11+F11</f>
        <v>5.94</v>
      </c>
      <c r="H11" s="10" t="n">
        <v>1.0118</v>
      </c>
      <c r="I11" s="9" t="n">
        <f aca="false">ROUND(G11*(1+H11),2)</f>
        <v>11.95</v>
      </c>
      <c r="J11" s="9" t="n">
        <v>11.95</v>
      </c>
      <c r="K11" s="9" t="n">
        <f aca="false">I11-G11</f>
        <v>6.01</v>
      </c>
      <c r="L11" s="11" t="n">
        <f aca="false">IFERROR(K11/I11,0)</f>
        <v>0.502928870292887</v>
      </c>
      <c r="M11" s="6" t="n">
        <v>4.2</v>
      </c>
      <c r="N11" s="6" t="s">
        <v>52</v>
      </c>
      <c r="O11" s="12" t="s">
        <v>53</v>
      </c>
    </row>
    <row r="12" customFormat="false" ht="15" hidden="false" customHeight="false" outlineLevel="0" collapsed="false">
      <c r="A12" s="6" t="s">
        <v>80</v>
      </c>
      <c r="B12" s="6" t="s">
        <v>81</v>
      </c>
      <c r="C12" s="6" t="s">
        <v>82</v>
      </c>
      <c r="D12" s="7"/>
      <c r="E12" s="8" t="n">
        <v>3.26</v>
      </c>
      <c r="F12" s="8" t="n">
        <v>0</v>
      </c>
      <c r="G12" s="9" t="n">
        <f aca="false">E12+F12</f>
        <v>3.26</v>
      </c>
      <c r="H12" s="10" t="n">
        <v>2.0521</v>
      </c>
      <c r="I12" s="9" t="n">
        <f aca="false">ROUND(G12*(1+H12),2)</f>
        <v>9.95</v>
      </c>
      <c r="J12" s="9" t="n">
        <v>9.95</v>
      </c>
      <c r="K12" s="9" t="n">
        <f aca="false">I12-G12</f>
        <v>6.69</v>
      </c>
      <c r="L12" s="11" t="n">
        <f aca="false">IFERROR(K12/I12,0)</f>
        <v>0.672361809045226</v>
      </c>
      <c r="M12" s="6" t="n">
        <v>5</v>
      </c>
      <c r="N12" s="6" t="s">
        <v>83</v>
      </c>
      <c r="O12" s="12" t="s">
        <v>53</v>
      </c>
    </row>
    <row r="13" customFormat="false" ht="15" hidden="false" customHeight="false" outlineLevel="0" collapsed="false">
      <c r="A13" s="6" t="s">
        <v>84</v>
      </c>
      <c r="B13" s="6" t="s">
        <v>85</v>
      </c>
      <c r="C13" s="6" t="s">
        <v>82</v>
      </c>
      <c r="D13" s="7"/>
      <c r="E13" s="8" t="n">
        <v>3.29</v>
      </c>
      <c r="F13" s="8" t="n">
        <v>0</v>
      </c>
      <c r="G13" s="9" t="n">
        <f aca="false">E13+F13</f>
        <v>3.29</v>
      </c>
      <c r="H13" s="10" t="n">
        <v>2.3283</v>
      </c>
      <c r="I13" s="9" t="n">
        <f aca="false">ROUND(G13*(1+H13),2)</f>
        <v>10.95</v>
      </c>
      <c r="J13" s="9" t="n">
        <v>10.95</v>
      </c>
      <c r="K13" s="9" t="n">
        <f aca="false">I13-G13</f>
        <v>7.66</v>
      </c>
      <c r="L13" s="11" t="n">
        <f aca="false">IFERROR(K13/I13,0)</f>
        <v>0.699543378995434</v>
      </c>
      <c r="M13" s="6" t="n">
        <v>4.7</v>
      </c>
      <c r="N13" s="6" t="s">
        <v>66</v>
      </c>
      <c r="O13" s="12" t="s">
        <v>53</v>
      </c>
    </row>
    <row r="14" customFormat="false" ht="15" hidden="false" customHeight="false" outlineLevel="0" collapsed="false">
      <c r="A14" s="6" t="s">
        <v>86</v>
      </c>
      <c r="B14" s="6" t="s">
        <v>87</v>
      </c>
      <c r="C14" s="6" t="s">
        <v>82</v>
      </c>
      <c r="D14" s="7"/>
      <c r="E14" s="8" t="n">
        <v>1.42</v>
      </c>
      <c r="F14" s="8" t="n">
        <v>0</v>
      </c>
      <c r="G14" s="9" t="n">
        <f aca="false">E14+F14</f>
        <v>1.42</v>
      </c>
      <c r="H14" s="10" t="n">
        <v>5.3028</v>
      </c>
      <c r="I14" s="9" t="n">
        <f aca="false">ROUND(G14*(1+H14),2)</f>
        <v>8.95</v>
      </c>
      <c r="J14" s="9" t="n">
        <v>8.95</v>
      </c>
      <c r="K14" s="9" t="n">
        <f aca="false">I14-G14</f>
        <v>7.53</v>
      </c>
      <c r="L14" s="11" t="n">
        <f aca="false">IFERROR(K14/I14,0)</f>
        <v>0.841340782122905</v>
      </c>
      <c r="M14" s="6" t="n">
        <v>4.7</v>
      </c>
      <c r="N14" s="6" t="s">
        <v>56</v>
      </c>
      <c r="O14" s="12" t="s">
        <v>53</v>
      </c>
    </row>
    <row r="15" customFormat="false" ht="15" hidden="false" customHeight="false" outlineLevel="0" collapsed="false">
      <c r="A15" s="6" t="s">
        <v>88</v>
      </c>
      <c r="B15" s="6" t="s">
        <v>89</v>
      </c>
      <c r="C15" s="6" t="s">
        <v>82</v>
      </c>
      <c r="D15" s="7"/>
      <c r="E15" s="8" t="n">
        <v>3.27</v>
      </c>
      <c r="F15" s="8" t="n">
        <v>0</v>
      </c>
      <c r="G15" s="9" t="n">
        <f aca="false">E15+F15</f>
        <v>3.27</v>
      </c>
      <c r="H15" s="10" t="n">
        <v>2.6544</v>
      </c>
      <c r="I15" s="9" t="n">
        <f aca="false">ROUND(G15*(1+H15),2)</f>
        <v>11.95</v>
      </c>
      <c r="J15" s="9" t="n">
        <v>11.95</v>
      </c>
      <c r="K15" s="9" t="n">
        <f aca="false">I15-G15</f>
        <v>8.68</v>
      </c>
      <c r="L15" s="11" t="n">
        <f aca="false">IFERROR(K15/I15,0)</f>
        <v>0.726359832635983</v>
      </c>
      <c r="M15" s="6" t="n">
        <v>4.7</v>
      </c>
      <c r="N15" s="6" t="s">
        <v>66</v>
      </c>
      <c r="O15" s="12" t="s">
        <v>53</v>
      </c>
    </row>
    <row r="16" customFormat="false" ht="15" hidden="false" customHeight="false" outlineLevel="0" collapsed="false">
      <c r="A16" s="6" t="s">
        <v>90</v>
      </c>
      <c r="B16" s="6" t="s">
        <v>91</v>
      </c>
      <c r="C16" s="6" t="s">
        <v>82</v>
      </c>
      <c r="D16" s="7"/>
      <c r="E16" s="8" t="n">
        <v>1.42</v>
      </c>
      <c r="F16" s="8" t="n">
        <v>0</v>
      </c>
      <c r="G16" s="9" t="n">
        <f aca="false">E16+F16</f>
        <v>1.42</v>
      </c>
      <c r="H16" s="10" t="n">
        <v>5.3028</v>
      </c>
      <c r="I16" s="9" t="n">
        <f aca="false">ROUND(G16*(1+H16),2)</f>
        <v>8.95</v>
      </c>
      <c r="J16" s="9" t="n">
        <v>8.95</v>
      </c>
      <c r="K16" s="9" t="n">
        <f aca="false">I16-G16</f>
        <v>7.53</v>
      </c>
      <c r="L16" s="11" t="n">
        <f aca="false">IFERROR(K16/I16,0)</f>
        <v>0.841340782122905</v>
      </c>
      <c r="M16" s="6" t="n">
        <v>4.8</v>
      </c>
      <c r="N16" s="6" t="s">
        <v>62</v>
      </c>
      <c r="O16" s="12" t="s">
        <v>53</v>
      </c>
    </row>
    <row r="17" customFormat="false" ht="15" hidden="false" customHeight="false" outlineLevel="0" collapsed="false">
      <c r="A17" s="6" t="s">
        <v>92</v>
      </c>
      <c r="B17" s="6" t="s">
        <v>93</v>
      </c>
      <c r="C17" s="6" t="s">
        <v>82</v>
      </c>
      <c r="D17" s="7"/>
      <c r="E17" s="8" t="n">
        <v>1.42</v>
      </c>
      <c r="F17" s="8" t="n">
        <v>0</v>
      </c>
      <c r="G17" s="9" t="n">
        <f aca="false">E17+F17</f>
        <v>1.42</v>
      </c>
      <c r="H17" s="10" t="n">
        <v>4.5986</v>
      </c>
      <c r="I17" s="9" t="n">
        <f aca="false">ROUND(G17*(1+H17),2)</f>
        <v>7.95</v>
      </c>
      <c r="J17" s="9" t="n">
        <v>7.95</v>
      </c>
      <c r="K17" s="9" t="n">
        <f aca="false">I17-G17</f>
        <v>6.53</v>
      </c>
      <c r="L17" s="11" t="n">
        <f aca="false">IFERROR(K17/I17,0)</f>
        <v>0.821383647798742</v>
      </c>
      <c r="M17" s="6" t="n">
        <v>4.8</v>
      </c>
      <c r="N17" s="6" t="s">
        <v>94</v>
      </c>
      <c r="O17" s="12" t="s">
        <v>53</v>
      </c>
    </row>
    <row r="18" customFormat="false" ht="15" hidden="false" customHeight="false" outlineLevel="0" collapsed="false">
      <c r="A18" s="6" t="s">
        <v>95</v>
      </c>
      <c r="B18" s="6" t="s">
        <v>96</v>
      </c>
      <c r="C18" s="6" t="s">
        <v>82</v>
      </c>
      <c r="D18" s="7"/>
      <c r="E18" s="8" t="n">
        <v>1.42</v>
      </c>
      <c r="F18" s="8" t="n">
        <v>0</v>
      </c>
      <c r="G18" s="9" t="n">
        <f aca="false">E18+F18</f>
        <v>1.42</v>
      </c>
      <c r="H18" s="10" t="n">
        <v>5.3028</v>
      </c>
      <c r="I18" s="9" t="n">
        <f aca="false">ROUND(G18*(1+H18),2)</f>
        <v>8.95</v>
      </c>
      <c r="J18" s="9" t="n">
        <v>8.95</v>
      </c>
      <c r="K18" s="9" t="n">
        <f aca="false">I18-G18</f>
        <v>7.53</v>
      </c>
      <c r="L18" s="11" t="n">
        <f aca="false">IFERROR(K18/I18,0)</f>
        <v>0.841340782122905</v>
      </c>
      <c r="M18" s="6" t="n">
        <v>4.8</v>
      </c>
      <c r="N18" s="6" t="s">
        <v>94</v>
      </c>
      <c r="O18" s="12" t="s">
        <v>53</v>
      </c>
    </row>
    <row r="19" customFormat="false" ht="15" hidden="false" customHeight="false" outlineLevel="0" collapsed="false">
      <c r="A19" s="6" t="s">
        <v>97</v>
      </c>
      <c r="B19" s="6" t="s">
        <v>98</v>
      </c>
      <c r="C19" s="6" t="s">
        <v>82</v>
      </c>
      <c r="D19" s="7"/>
      <c r="E19" s="8" t="n">
        <v>1.42</v>
      </c>
      <c r="F19" s="8" t="n">
        <v>0</v>
      </c>
      <c r="G19" s="9" t="n">
        <f aca="false">E19+F19</f>
        <v>1.42</v>
      </c>
      <c r="H19" s="10" t="n">
        <v>5.3028</v>
      </c>
      <c r="I19" s="9" t="n">
        <f aca="false">ROUND(G19*(1+H19),2)</f>
        <v>8.95</v>
      </c>
      <c r="J19" s="9" t="n">
        <v>8.95</v>
      </c>
      <c r="K19" s="9" t="n">
        <f aca="false">I19-G19</f>
        <v>7.53</v>
      </c>
      <c r="L19" s="11" t="n">
        <f aca="false">IFERROR(K19/I19,0)</f>
        <v>0.841340782122905</v>
      </c>
      <c r="M19" s="6" t="n">
        <v>4.9</v>
      </c>
      <c r="N19" s="6" t="s">
        <v>52</v>
      </c>
      <c r="O19" s="12" t="s">
        <v>53</v>
      </c>
    </row>
    <row r="20" customFormat="false" ht="15" hidden="false" customHeight="false" outlineLevel="0" collapsed="false">
      <c r="A20" s="6" t="s">
        <v>99</v>
      </c>
      <c r="B20" s="6" t="s">
        <v>100</v>
      </c>
      <c r="C20" s="6" t="s">
        <v>51</v>
      </c>
      <c r="D20" s="7"/>
      <c r="E20" s="8" t="n">
        <v>6.63</v>
      </c>
      <c r="F20" s="8" t="n">
        <v>0</v>
      </c>
      <c r="G20" s="9" t="n">
        <f aca="false">E20+F20</f>
        <v>6.63</v>
      </c>
      <c r="H20" s="10" t="n">
        <v>1.8582</v>
      </c>
      <c r="I20" s="9" t="n">
        <f aca="false">ROUND(G20*(1+H20),2)</f>
        <v>18.95</v>
      </c>
      <c r="J20" s="9" t="n">
        <v>18.95</v>
      </c>
      <c r="K20" s="9" t="n">
        <f aca="false">I20-G20</f>
        <v>12.32</v>
      </c>
      <c r="L20" s="11" t="n">
        <f aca="false">IFERROR(K20/I20,0)</f>
        <v>0.650131926121372</v>
      </c>
      <c r="M20" s="6" t="n">
        <v>4.9</v>
      </c>
      <c r="N20" s="6" t="s">
        <v>101</v>
      </c>
      <c r="O20" s="12" t="s">
        <v>53</v>
      </c>
    </row>
    <row r="21" customFormat="false" ht="15" hidden="false" customHeight="false" outlineLevel="0" collapsed="false">
      <c r="A21" s="6" t="s">
        <v>102</v>
      </c>
      <c r="B21" s="6" t="s">
        <v>103</v>
      </c>
      <c r="C21" s="6" t="s">
        <v>51</v>
      </c>
      <c r="D21" s="7"/>
      <c r="E21" s="8" t="n">
        <v>5.06</v>
      </c>
      <c r="F21" s="8" t="n">
        <v>0</v>
      </c>
      <c r="G21" s="9" t="n">
        <f aca="false">E21+F21</f>
        <v>5.06</v>
      </c>
      <c r="H21" s="10" t="n">
        <v>1.9545</v>
      </c>
      <c r="I21" s="9" t="n">
        <f aca="false">ROUND(G21*(1+H21),2)</f>
        <v>14.95</v>
      </c>
      <c r="J21" s="9" t="n">
        <v>14.95</v>
      </c>
      <c r="K21" s="9" t="n">
        <f aca="false">I21-G21</f>
        <v>9.89</v>
      </c>
      <c r="L21" s="11" t="n">
        <f aca="false">IFERROR(K21/I21,0)</f>
        <v>0.661538461538462</v>
      </c>
      <c r="M21" s="6" t="n">
        <v>4.9</v>
      </c>
      <c r="N21" s="6" t="s">
        <v>101</v>
      </c>
      <c r="O21" s="12" t="s">
        <v>53</v>
      </c>
    </row>
    <row r="22" customFormat="false" ht="15" hidden="false" customHeight="false" outlineLevel="0" collapsed="false">
      <c r="A22" s="6" t="s">
        <v>104</v>
      </c>
      <c r="B22" s="6" t="s">
        <v>105</v>
      </c>
      <c r="C22" s="6" t="s">
        <v>51</v>
      </c>
      <c r="D22" s="7"/>
      <c r="E22" s="8" t="n">
        <v>5.28</v>
      </c>
      <c r="F22" s="8" t="n">
        <v>0</v>
      </c>
      <c r="G22" s="9" t="n">
        <f aca="false">E22+F22</f>
        <v>5.28</v>
      </c>
      <c r="H22" s="10" t="n">
        <v>2.0208</v>
      </c>
      <c r="I22" s="9" t="n">
        <f aca="false">ROUND(G22*(1+H22),2)</f>
        <v>15.95</v>
      </c>
      <c r="J22" s="9" t="n">
        <v>15.95</v>
      </c>
      <c r="K22" s="9" t="n">
        <f aca="false">I22-G22</f>
        <v>10.67</v>
      </c>
      <c r="L22" s="11" t="n">
        <f aca="false">IFERROR(K22/I22,0)</f>
        <v>0.668965517241379</v>
      </c>
      <c r="M22" s="6" t="n">
        <v>4.4</v>
      </c>
      <c r="N22" s="6" t="s">
        <v>101</v>
      </c>
      <c r="O22" s="12" t="s">
        <v>53</v>
      </c>
    </row>
    <row r="23" customFormat="false" ht="15" hidden="false" customHeight="false" outlineLevel="0" collapsed="false">
      <c r="A23" s="6" t="s">
        <v>106</v>
      </c>
      <c r="B23" s="6" t="s">
        <v>107</v>
      </c>
      <c r="C23" s="6" t="s">
        <v>51</v>
      </c>
      <c r="D23" s="7"/>
      <c r="E23" s="8" t="n">
        <v>5.96</v>
      </c>
      <c r="F23" s="8" t="n">
        <v>0</v>
      </c>
      <c r="G23" s="9" t="n">
        <f aca="false">E23+F23</f>
        <v>5.96</v>
      </c>
      <c r="H23" s="10" t="n">
        <v>2.0117</v>
      </c>
      <c r="I23" s="9" t="n">
        <f aca="false">ROUND(G23*(1+H23),2)</f>
        <v>17.95</v>
      </c>
      <c r="J23" s="9" t="n">
        <v>17.95</v>
      </c>
      <c r="K23" s="9" t="n">
        <f aca="false">I23-G23</f>
        <v>11.99</v>
      </c>
      <c r="L23" s="11" t="n">
        <f aca="false">IFERROR(K23/I23,0)</f>
        <v>0.667966573816156</v>
      </c>
      <c r="M23" s="6" t="n">
        <v>4.4</v>
      </c>
      <c r="N23" s="6" t="s">
        <v>101</v>
      </c>
      <c r="O23" s="12" t="s">
        <v>53</v>
      </c>
    </row>
    <row r="24" customFormat="false" ht="15" hidden="false" customHeight="false" outlineLevel="0" collapsed="false">
      <c r="A24" s="6" t="s">
        <v>108</v>
      </c>
      <c r="B24" s="6" t="s">
        <v>109</v>
      </c>
      <c r="C24" s="6" t="s">
        <v>51</v>
      </c>
      <c r="D24" s="7"/>
      <c r="E24" s="8" t="n">
        <v>19.53</v>
      </c>
      <c r="F24" s="8" t="n">
        <v>0</v>
      </c>
      <c r="G24" s="9" t="n">
        <f aca="false">E24+F24</f>
        <v>19.53</v>
      </c>
      <c r="H24" s="10" t="n">
        <v>1.3016</v>
      </c>
      <c r="I24" s="9" t="n">
        <f aca="false">ROUND(G24*(1+H24),2)</f>
        <v>44.95</v>
      </c>
      <c r="J24" s="9" t="n">
        <v>44.95</v>
      </c>
      <c r="K24" s="9" t="n">
        <f aca="false">I24-G24</f>
        <v>25.42</v>
      </c>
      <c r="L24" s="11" t="n">
        <f aca="false">IFERROR(K24/I24,0)</f>
        <v>0.56551724137931</v>
      </c>
      <c r="M24" s="6" t="n">
        <v>4.4</v>
      </c>
      <c r="N24" s="6" t="s">
        <v>110</v>
      </c>
      <c r="O24" s="12" t="s">
        <v>111</v>
      </c>
    </row>
    <row r="25" customFormat="false" ht="15" hidden="false" customHeight="false" outlineLevel="0" collapsed="false">
      <c r="A25" s="6" t="s">
        <v>112</v>
      </c>
      <c r="B25" s="6" t="s">
        <v>113</v>
      </c>
      <c r="C25" s="6" t="s">
        <v>77</v>
      </c>
      <c r="D25" s="7"/>
      <c r="E25" s="8" t="n">
        <v>5.55</v>
      </c>
      <c r="F25" s="8" t="n">
        <v>0</v>
      </c>
      <c r="G25" s="9" t="n">
        <f aca="false">E25+F25</f>
        <v>5.55</v>
      </c>
      <c r="H25" s="10" t="n">
        <v>2.0541</v>
      </c>
      <c r="I25" s="9" t="n">
        <f aca="false">ROUND(G25*(1+H25),2)</f>
        <v>16.95</v>
      </c>
      <c r="J25" s="9" t="n">
        <v>16.95</v>
      </c>
      <c r="K25" s="9" t="n">
        <f aca="false">I25-G25</f>
        <v>11.4</v>
      </c>
      <c r="L25" s="11" t="n">
        <f aca="false">IFERROR(K25/I25,0)</f>
        <v>0.672566371681416</v>
      </c>
      <c r="M25" s="6" t="n">
        <v>4.9</v>
      </c>
      <c r="N25" s="6" t="s">
        <v>52</v>
      </c>
      <c r="O25" s="12" t="s">
        <v>53</v>
      </c>
    </row>
    <row r="26" customFormat="false" ht="15" hidden="false" customHeight="false" outlineLevel="0" collapsed="false">
      <c r="A26" s="6" t="s">
        <v>114</v>
      </c>
      <c r="B26" s="6" t="s">
        <v>115</v>
      </c>
      <c r="C26" s="6" t="s">
        <v>77</v>
      </c>
      <c r="D26" s="7"/>
      <c r="E26" s="8" t="n">
        <v>4.84</v>
      </c>
      <c r="F26" s="8" t="n">
        <v>0</v>
      </c>
      <c r="G26" s="9" t="n">
        <f aca="false">E26+F26</f>
        <v>4.84</v>
      </c>
      <c r="H26" s="10" t="n">
        <v>2.0888</v>
      </c>
      <c r="I26" s="9" t="n">
        <f aca="false">ROUND(G26*(1+H26),2)</f>
        <v>14.95</v>
      </c>
      <c r="J26" s="9" t="n">
        <v>14.95</v>
      </c>
      <c r="K26" s="9" t="n">
        <f aca="false">I26-G26</f>
        <v>10.11</v>
      </c>
      <c r="L26" s="11" t="n">
        <f aca="false">IFERROR(K26/I26,0)</f>
        <v>0.676254180602007</v>
      </c>
      <c r="M26" s="6" t="n">
        <v>4.9</v>
      </c>
      <c r="N26" s="6" t="s">
        <v>52</v>
      </c>
      <c r="O26" s="12" t="s">
        <v>53</v>
      </c>
    </row>
    <row r="27" customFormat="false" ht="15" hidden="false" customHeight="false" outlineLevel="0" collapsed="false">
      <c r="A27" s="6" t="s">
        <v>116</v>
      </c>
      <c r="B27" s="6" t="s">
        <v>117</v>
      </c>
      <c r="C27" s="6" t="s">
        <v>77</v>
      </c>
      <c r="D27" s="7"/>
      <c r="E27" s="8" t="n">
        <v>3.22</v>
      </c>
      <c r="F27" s="8" t="n">
        <v>0</v>
      </c>
      <c r="G27" s="9" t="n">
        <f aca="false">E27+F27</f>
        <v>3.22</v>
      </c>
      <c r="H27" s="10" t="n">
        <v>2.4006</v>
      </c>
      <c r="I27" s="9" t="n">
        <f aca="false">ROUND(G27*(1+H27),2)</f>
        <v>10.95</v>
      </c>
      <c r="J27" s="9" t="n">
        <v>10.95</v>
      </c>
      <c r="K27" s="9" t="n">
        <f aca="false">I27-G27</f>
        <v>7.73</v>
      </c>
      <c r="L27" s="11" t="n">
        <f aca="false">IFERROR(K27/I27,0)</f>
        <v>0.705936073059361</v>
      </c>
      <c r="M27" s="6" t="n">
        <v>4.9</v>
      </c>
      <c r="N27" s="6" t="s">
        <v>52</v>
      </c>
      <c r="O27" s="12" t="s">
        <v>111</v>
      </c>
    </row>
    <row r="28" customFormat="false" ht="15" hidden="false" customHeight="false" outlineLevel="0" collapsed="false">
      <c r="A28" s="6" t="s">
        <v>118</v>
      </c>
      <c r="B28" s="6" t="s">
        <v>119</v>
      </c>
      <c r="C28" s="6" t="s">
        <v>77</v>
      </c>
      <c r="D28" s="7"/>
      <c r="E28" s="8" t="n">
        <v>22.39</v>
      </c>
      <c r="F28" s="8" t="n">
        <v>0</v>
      </c>
      <c r="G28" s="9" t="n">
        <f aca="false">E28+F28</f>
        <v>22.39</v>
      </c>
      <c r="H28" s="10" t="n">
        <v>1.2309</v>
      </c>
      <c r="I28" s="9" t="n">
        <f aca="false">ROUND(G28*(1+H28),2)</f>
        <v>49.95</v>
      </c>
      <c r="J28" s="9" t="n">
        <v>49.95</v>
      </c>
      <c r="K28" s="9" t="n">
        <f aca="false">I28-G28</f>
        <v>27.56</v>
      </c>
      <c r="L28" s="11" t="n">
        <f aca="false">IFERROR(K28/I28,0)</f>
        <v>0.551751751751752</v>
      </c>
      <c r="M28" s="6" t="n">
        <v>4.6</v>
      </c>
      <c r="N28" s="6" t="s">
        <v>52</v>
      </c>
      <c r="O28" s="12" t="s">
        <v>53</v>
      </c>
    </row>
    <row r="29" customFormat="false" ht="15" hidden="false" customHeight="false" outlineLevel="0" collapsed="false">
      <c r="A29" s="6" t="s">
        <v>120</v>
      </c>
      <c r="B29" s="6" t="s">
        <v>121</v>
      </c>
      <c r="C29" s="6" t="s">
        <v>77</v>
      </c>
      <c r="D29" s="7"/>
      <c r="E29" s="8" t="n">
        <v>9.1</v>
      </c>
      <c r="F29" s="8" t="n">
        <v>0</v>
      </c>
      <c r="G29" s="9" t="n">
        <f aca="false">E29+F29</f>
        <v>9.1</v>
      </c>
      <c r="H29" s="10" t="n">
        <v>1.6319</v>
      </c>
      <c r="I29" s="9" t="n">
        <f aca="false">ROUND(G29*(1+H29),2)</f>
        <v>23.95</v>
      </c>
      <c r="J29" s="9" t="n">
        <v>23.95</v>
      </c>
      <c r="K29" s="9" t="n">
        <f aca="false">I29-G29</f>
        <v>14.85</v>
      </c>
      <c r="L29" s="11" t="n">
        <f aca="false">IFERROR(K29/I29,0)</f>
        <v>0.620041753653445</v>
      </c>
      <c r="M29" s="6" t="n">
        <v>4.9</v>
      </c>
      <c r="N29" s="6" t="s">
        <v>52</v>
      </c>
      <c r="O29" s="12" t="s">
        <v>53</v>
      </c>
    </row>
    <row r="30" customFormat="false" ht="15" hidden="false" customHeight="false" outlineLevel="0" collapsed="false">
      <c r="A30" s="6" t="s">
        <v>122</v>
      </c>
      <c r="B30" s="6" t="s">
        <v>123</v>
      </c>
      <c r="C30" s="6" t="s">
        <v>77</v>
      </c>
      <c r="D30" s="7"/>
      <c r="E30" s="8" t="n">
        <v>4.86</v>
      </c>
      <c r="F30" s="8" t="n">
        <v>0</v>
      </c>
      <c r="G30" s="9" t="n">
        <f aca="false">E30+F30</f>
        <v>4.86</v>
      </c>
      <c r="H30" s="10" t="n">
        <v>2.0761</v>
      </c>
      <c r="I30" s="9" t="n">
        <f aca="false">ROUND(G30*(1+H30),2)</f>
        <v>14.95</v>
      </c>
      <c r="J30" s="9" t="n">
        <v>14.95</v>
      </c>
      <c r="K30" s="9" t="n">
        <f aca="false">I30-G30</f>
        <v>10.09</v>
      </c>
      <c r="L30" s="11" t="n">
        <f aca="false">IFERROR(K30/I30,0)</f>
        <v>0.674916387959866</v>
      </c>
      <c r="M30" s="6" t="n">
        <v>4.6</v>
      </c>
      <c r="N30" s="6" t="s">
        <v>52</v>
      </c>
      <c r="O30" s="12" t="s">
        <v>53</v>
      </c>
    </row>
    <row r="31" customFormat="false" ht="15" hidden="false" customHeight="false" outlineLevel="0" collapsed="false">
      <c r="A31" s="6" t="s">
        <v>124</v>
      </c>
      <c r="B31" s="6" t="s">
        <v>125</v>
      </c>
      <c r="C31" s="6" t="s">
        <v>77</v>
      </c>
      <c r="D31" s="7"/>
      <c r="E31" s="8" t="n">
        <v>2.16</v>
      </c>
      <c r="F31" s="8" t="n">
        <v>0</v>
      </c>
      <c r="G31" s="9" t="n">
        <f aca="false">E31+F31</f>
        <v>2.16</v>
      </c>
      <c r="H31" s="10" t="n">
        <v>3.1435</v>
      </c>
      <c r="I31" s="9" t="n">
        <f aca="false">ROUND(G31*(1+H31),2)</f>
        <v>8.95</v>
      </c>
      <c r="J31" s="9" t="n">
        <v>8.95</v>
      </c>
      <c r="K31" s="9" t="n">
        <f aca="false">I31-G31</f>
        <v>6.79</v>
      </c>
      <c r="L31" s="11" t="n">
        <f aca="false">IFERROR(K31/I31,0)</f>
        <v>0.758659217877095</v>
      </c>
      <c r="M31" s="6" t="n">
        <v>4</v>
      </c>
      <c r="N31" s="6" t="s">
        <v>52</v>
      </c>
      <c r="O31" s="12" t="s">
        <v>53</v>
      </c>
    </row>
    <row r="32" customFormat="false" ht="15" hidden="false" customHeight="false" outlineLevel="0" collapsed="false">
      <c r="A32" s="6" t="s">
        <v>126</v>
      </c>
      <c r="B32" s="6" t="s">
        <v>127</v>
      </c>
      <c r="C32" s="6" t="s">
        <v>77</v>
      </c>
      <c r="D32" s="7"/>
      <c r="E32" s="8" t="n">
        <v>4.32</v>
      </c>
      <c r="F32" s="8" t="n">
        <v>0</v>
      </c>
      <c r="G32" s="9" t="n">
        <f aca="false">E32+F32</f>
        <v>4.32</v>
      </c>
      <c r="H32" s="10" t="n">
        <v>1.9977</v>
      </c>
      <c r="I32" s="9" t="n">
        <f aca="false">ROUND(G32*(1+H32),2)</f>
        <v>12.95</v>
      </c>
      <c r="J32" s="9" t="n">
        <v>12.95</v>
      </c>
      <c r="K32" s="9" t="n">
        <f aca="false">I32-G32</f>
        <v>8.63</v>
      </c>
      <c r="L32" s="11" t="n">
        <f aca="false">IFERROR(K32/I32,0)</f>
        <v>0.666409266409266</v>
      </c>
      <c r="M32" s="6" t="n">
        <v>4.3</v>
      </c>
      <c r="N32" s="6" t="s">
        <v>72</v>
      </c>
      <c r="O32" s="12" t="s">
        <v>111</v>
      </c>
    </row>
    <row r="33" customFormat="false" ht="15" hidden="false" customHeight="false" outlineLevel="0" collapsed="false">
      <c r="A33" s="6" t="s">
        <v>128</v>
      </c>
      <c r="B33" s="6" t="s">
        <v>129</v>
      </c>
      <c r="C33" s="6" t="s">
        <v>59</v>
      </c>
      <c r="D33" s="7"/>
      <c r="E33" s="8" t="n">
        <v>20.83</v>
      </c>
      <c r="F33" s="8" t="n">
        <v>0</v>
      </c>
      <c r="G33" s="9" t="n">
        <f aca="false">E33+F33</f>
        <v>20.83</v>
      </c>
      <c r="H33" s="10" t="n">
        <v>1.254</v>
      </c>
      <c r="I33" s="9" t="n">
        <f aca="false">ROUND(G33*(1+H33),2)</f>
        <v>46.95</v>
      </c>
      <c r="J33" s="9" t="n">
        <v>46.95</v>
      </c>
      <c r="K33" s="9" t="n">
        <f aca="false">I33-G33</f>
        <v>26.12</v>
      </c>
      <c r="L33" s="11" t="n">
        <f aca="false">IFERROR(K33/I33,0)</f>
        <v>0.556336528221512</v>
      </c>
      <c r="M33" s="6" t="n">
        <v>4.9</v>
      </c>
      <c r="N33" s="6" t="s">
        <v>101</v>
      </c>
      <c r="O33" s="12" t="s">
        <v>53</v>
      </c>
    </row>
    <row r="34" customFormat="false" ht="15" hidden="false" customHeight="false" outlineLevel="0" collapsed="false">
      <c r="A34" s="6" t="s">
        <v>130</v>
      </c>
      <c r="B34" s="6" t="s">
        <v>131</v>
      </c>
      <c r="C34" s="6" t="s">
        <v>59</v>
      </c>
      <c r="D34" s="7"/>
      <c r="E34" s="8" t="n">
        <v>16.61</v>
      </c>
      <c r="F34" s="8" t="n">
        <v>0</v>
      </c>
      <c r="G34" s="9" t="n">
        <f aca="false">E34+F34</f>
        <v>16.61</v>
      </c>
      <c r="H34" s="10" t="n">
        <v>1.4052</v>
      </c>
      <c r="I34" s="9" t="n">
        <f aca="false">ROUND(G34*(1+H34),2)</f>
        <v>39.95</v>
      </c>
      <c r="J34" s="9" t="n">
        <v>39.95</v>
      </c>
      <c r="K34" s="9" t="n">
        <f aca="false">I34-G34</f>
        <v>23.34</v>
      </c>
      <c r="L34" s="11" t="n">
        <f aca="false">IFERROR(K34/I34,0)</f>
        <v>0.584230287859825</v>
      </c>
      <c r="M34" s="6" t="n">
        <v>4.9</v>
      </c>
      <c r="N34" s="6" t="s">
        <v>101</v>
      </c>
      <c r="O34" s="12" t="s">
        <v>53</v>
      </c>
    </row>
    <row r="35" customFormat="false" ht="15" hidden="false" customHeight="false" outlineLevel="0" collapsed="false">
      <c r="A35" s="6" t="s">
        <v>132</v>
      </c>
      <c r="B35" s="6" t="s">
        <v>133</v>
      </c>
      <c r="C35" s="6" t="s">
        <v>59</v>
      </c>
      <c r="D35" s="7"/>
      <c r="E35" s="8" t="n">
        <v>2.98</v>
      </c>
      <c r="F35" s="8" t="n">
        <v>0</v>
      </c>
      <c r="G35" s="9" t="n">
        <f aca="false">E35+F35</f>
        <v>2.98</v>
      </c>
      <c r="H35" s="10" t="n">
        <v>2.6745</v>
      </c>
      <c r="I35" s="9" t="n">
        <f aca="false">ROUND(G35*(1+H35),2)</f>
        <v>10.95</v>
      </c>
      <c r="J35" s="9" t="n">
        <v>10.95</v>
      </c>
      <c r="K35" s="9" t="n">
        <f aca="false">I35-G35</f>
        <v>7.97</v>
      </c>
      <c r="L35" s="11" t="n">
        <f aca="false">IFERROR(K35/I35,0)</f>
        <v>0.727853881278539</v>
      </c>
      <c r="M35" s="6" t="n">
        <v>4.9</v>
      </c>
      <c r="N35" s="6" t="s">
        <v>56</v>
      </c>
      <c r="O35" s="12" t="s">
        <v>53</v>
      </c>
    </row>
    <row r="36" customFormat="false" ht="15" hidden="false" customHeight="false" outlineLevel="0" collapsed="false">
      <c r="A36" s="6" t="s">
        <v>134</v>
      </c>
      <c r="B36" s="6" t="s">
        <v>135</v>
      </c>
      <c r="C36" s="6" t="s">
        <v>59</v>
      </c>
      <c r="D36" s="7"/>
      <c r="E36" s="8" t="n">
        <v>9.37</v>
      </c>
      <c r="F36" s="8" t="n">
        <v>0</v>
      </c>
      <c r="G36" s="9" t="n">
        <f aca="false">E36+F36</f>
        <v>9.37</v>
      </c>
      <c r="H36" s="10" t="n">
        <v>1.556</v>
      </c>
      <c r="I36" s="9" t="n">
        <f aca="false">ROUND(G36*(1+H36),2)</f>
        <v>23.95</v>
      </c>
      <c r="J36" s="9" t="n">
        <v>23.95</v>
      </c>
      <c r="K36" s="9" t="n">
        <f aca="false">I36-G36</f>
        <v>14.58</v>
      </c>
      <c r="L36" s="11" t="n">
        <f aca="false">IFERROR(K36/I36,0)</f>
        <v>0.608768267223382</v>
      </c>
      <c r="M36" s="6" t="n">
        <v>4.4</v>
      </c>
      <c r="N36" s="6" t="s">
        <v>52</v>
      </c>
      <c r="O36" s="12" t="s">
        <v>53</v>
      </c>
    </row>
    <row r="37" customFormat="false" ht="15" hidden="false" customHeight="false" outlineLevel="0" collapsed="false">
      <c r="A37" s="6" t="s">
        <v>136</v>
      </c>
      <c r="B37" s="6" t="s">
        <v>137</v>
      </c>
      <c r="C37" s="6" t="s">
        <v>65</v>
      </c>
      <c r="D37" s="7"/>
      <c r="E37" s="8" t="n">
        <v>5.26</v>
      </c>
      <c r="F37" s="8" t="n">
        <v>0</v>
      </c>
      <c r="G37" s="9" t="n">
        <f aca="false">E37+F37</f>
        <v>5.26</v>
      </c>
      <c r="H37" s="10" t="n">
        <v>2.0323</v>
      </c>
      <c r="I37" s="9" t="n">
        <f aca="false">ROUND(G37*(1+H37),2)</f>
        <v>15.95</v>
      </c>
      <c r="J37" s="9" t="n">
        <v>15.95</v>
      </c>
      <c r="K37" s="9" t="n">
        <f aca="false">I37-G37</f>
        <v>10.69</v>
      </c>
      <c r="L37" s="11" t="n">
        <f aca="false">IFERROR(K37/I37,0)</f>
        <v>0.670219435736677</v>
      </c>
      <c r="M37" s="6" t="n">
        <v>4.7</v>
      </c>
      <c r="N37" s="6" t="s">
        <v>101</v>
      </c>
      <c r="O37" s="12" t="s">
        <v>111</v>
      </c>
    </row>
    <row r="38" customFormat="false" ht="15" hidden="false" customHeight="false" outlineLevel="0" collapsed="false">
      <c r="A38" s="6" t="s">
        <v>138</v>
      </c>
      <c r="B38" s="6" t="s">
        <v>139</v>
      </c>
      <c r="C38" s="6" t="s">
        <v>65</v>
      </c>
      <c r="D38" s="7"/>
      <c r="E38" s="8" t="n">
        <v>4.11</v>
      </c>
      <c r="F38" s="8" t="n">
        <v>0</v>
      </c>
      <c r="G38" s="9" t="n">
        <f aca="false">E38+F38</f>
        <v>4.11</v>
      </c>
      <c r="H38" s="10" t="n">
        <v>2.1509</v>
      </c>
      <c r="I38" s="9" t="n">
        <f aca="false">ROUND(G38*(1+H38),2)</f>
        <v>12.95</v>
      </c>
      <c r="J38" s="9" t="n">
        <v>12.95</v>
      </c>
      <c r="K38" s="9" t="n">
        <f aca="false">I38-G38</f>
        <v>8.84</v>
      </c>
      <c r="L38" s="11" t="n">
        <f aca="false">IFERROR(K38/I38,0)</f>
        <v>0.682625482625483</v>
      </c>
      <c r="M38" s="6" t="n">
        <v>4.9</v>
      </c>
      <c r="N38" s="6" t="s">
        <v>101</v>
      </c>
      <c r="O38" s="12" t="s">
        <v>111</v>
      </c>
    </row>
    <row r="39" customFormat="false" ht="15" hidden="false" customHeight="false" outlineLevel="0" collapsed="false">
      <c r="A39" s="6" t="s">
        <v>140</v>
      </c>
      <c r="B39" s="6" t="s">
        <v>141</v>
      </c>
      <c r="C39" s="6" t="s">
        <v>65</v>
      </c>
      <c r="D39" s="7"/>
      <c r="E39" s="8" t="n">
        <v>2.76</v>
      </c>
      <c r="F39" s="8" t="n">
        <v>0</v>
      </c>
      <c r="G39" s="9" t="n">
        <f aca="false">E39+F39</f>
        <v>2.76</v>
      </c>
      <c r="H39" s="10" t="n">
        <v>2.6051</v>
      </c>
      <c r="I39" s="9" t="n">
        <f aca="false">ROUND(G39*(1+H39),2)</f>
        <v>9.95</v>
      </c>
      <c r="J39" s="9" t="n">
        <v>9.95</v>
      </c>
      <c r="K39" s="9" t="n">
        <f aca="false">I39-G39</f>
        <v>7.19</v>
      </c>
      <c r="L39" s="11" t="n">
        <f aca="false">IFERROR(K39/I39,0)</f>
        <v>0.722613065326633</v>
      </c>
      <c r="M39" s="6" t="n">
        <v>4.9</v>
      </c>
      <c r="N39" s="6" t="s">
        <v>101</v>
      </c>
      <c r="O39" s="12" t="s">
        <v>53</v>
      </c>
    </row>
    <row r="40" customFormat="false" ht="15" hidden="false" customHeight="false" outlineLevel="0" collapsed="false">
      <c r="A40" s="6" t="s">
        <v>142</v>
      </c>
      <c r="B40" s="6" t="s">
        <v>143</v>
      </c>
      <c r="C40" s="6" t="s">
        <v>65</v>
      </c>
      <c r="D40" s="7"/>
      <c r="E40" s="8" t="n">
        <v>3.27</v>
      </c>
      <c r="F40" s="8" t="n">
        <v>0</v>
      </c>
      <c r="G40" s="9" t="n">
        <f aca="false">E40+F40</f>
        <v>3.27</v>
      </c>
      <c r="H40" s="10" t="n">
        <v>2.3486</v>
      </c>
      <c r="I40" s="9" t="n">
        <f aca="false">ROUND(G40*(1+H40),2)</f>
        <v>10.95</v>
      </c>
      <c r="J40" s="9" t="n">
        <v>10.95</v>
      </c>
      <c r="K40" s="9" t="n">
        <f aca="false">I40-G40</f>
        <v>7.68</v>
      </c>
      <c r="L40" s="11" t="n">
        <f aca="false">IFERROR(K40/I40,0)</f>
        <v>0.701369863013699</v>
      </c>
      <c r="M40" s="6" t="n">
        <v>4.9</v>
      </c>
      <c r="N40" s="6" t="s">
        <v>101</v>
      </c>
      <c r="O40" s="12" t="s">
        <v>53</v>
      </c>
    </row>
    <row r="41" customFormat="false" ht="15" hidden="false" customHeight="false" outlineLevel="0" collapsed="false">
      <c r="A41" s="6" t="s">
        <v>144</v>
      </c>
      <c r="B41" s="6" t="s">
        <v>145</v>
      </c>
      <c r="C41" s="6" t="s">
        <v>65</v>
      </c>
      <c r="D41" s="7"/>
      <c r="E41" s="8" t="n">
        <v>2.98</v>
      </c>
      <c r="F41" s="8" t="n">
        <v>0</v>
      </c>
      <c r="G41" s="9" t="n">
        <f aca="false">E41+F41</f>
        <v>2.98</v>
      </c>
      <c r="H41" s="10" t="n">
        <v>2.6745</v>
      </c>
      <c r="I41" s="9" t="n">
        <f aca="false">ROUND(G41*(1+H41),2)</f>
        <v>10.95</v>
      </c>
      <c r="J41" s="9" t="n">
        <v>10.95</v>
      </c>
      <c r="K41" s="9" t="n">
        <f aca="false">I41-G41</f>
        <v>7.97</v>
      </c>
      <c r="L41" s="11" t="n">
        <f aca="false">IFERROR(K41/I41,0)</f>
        <v>0.727853881278539</v>
      </c>
      <c r="M41" s="6" t="n">
        <v>4.9</v>
      </c>
      <c r="N41" s="6" t="s">
        <v>56</v>
      </c>
      <c r="O41" s="12" t="s">
        <v>53</v>
      </c>
    </row>
    <row r="42" customFormat="false" ht="15" hidden="false" customHeight="false" outlineLevel="0" collapsed="false">
      <c r="A42" s="6" t="s">
        <v>146</v>
      </c>
      <c r="B42" s="6" t="s">
        <v>147</v>
      </c>
      <c r="C42" s="6" t="s">
        <v>65</v>
      </c>
      <c r="D42" s="7"/>
      <c r="E42" s="8" t="n">
        <v>3.56</v>
      </c>
      <c r="F42" s="8" t="n">
        <v>0</v>
      </c>
      <c r="G42" s="9" t="n">
        <f aca="false">E42+F42</f>
        <v>3.56</v>
      </c>
      <c r="H42" s="10" t="n">
        <v>2.3567</v>
      </c>
      <c r="I42" s="9" t="n">
        <f aca="false">ROUND(G42*(1+H42),2)</f>
        <v>11.95</v>
      </c>
      <c r="J42" s="9" t="n">
        <v>11.95</v>
      </c>
      <c r="K42" s="9" t="n">
        <f aca="false">I42-G42</f>
        <v>8.39</v>
      </c>
      <c r="L42" s="11" t="n">
        <f aca="false">IFERROR(K42/I42,0)</f>
        <v>0.702092050209205</v>
      </c>
      <c r="M42" s="6" t="n">
        <v>4.5</v>
      </c>
      <c r="N42" s="6" t="s">
        <v>110</v>
      </c>
      <c r="O42" s="12" t="s">
        <v>53</v>
      </c>
    </row>
    <row r="43" customFormat="false" ht="15" hidden="false" customHeight="false" outlineLevel="0" collapsed="false">
      <c r="A43" s="6" t="s">
        <v>148</v>
      </c>
      <c r="B43" s="6" t="s">
        <v>149</v>
      </c>
      <c r="C43" s="6" t="s">
        <v>65</v>
      </c>
      <c r="D43" s="7"/>
      <c r="E43" s="8" t="n">
        <v>4.47</v>
      </c>
      <c r="F43" s="8" t="n">
        <v>0</v>
      </c>
      <c r="G43" s="9" t="n">
        <f aca="false">E43+F43</f>
        <v>4.47</v>
      </c>
      <c r="H43" s="10" t="n">
        <v>2.1208</v>
      </c>
      <c r="I43" s="9" t="n">
        <f aca="false">ROUND(G43*(1+H43),2)</f>
        <v>13.95</v>
      </c>
      <c r="J43" s="9" t="n">
        <v>13.95</v>
      </c>
      <c r="K43" s="9" t="n">
        <f aca="false">I43-G43</f>
        <v>9.48</v>
      </c>
      <c r="L43" s="11" t="n">
        <f aca="false">IFERROR(K43/I43,0)</f>
        <v>0.679569892473118</v>
      </c>
      <c r="M43" s="6" t="n">
        <v>4.6</v>
      </c>
      <c r="N43" s="6" t="s">
        <v>72</v>
      </c>
      <c r="O43" s="12" t="s">
        <v>53</v>
      </c>
    </row>
    <row r="44" customFormat="false" ht="15" hidden="false" customHeight="false" outlineLevel="0" collapsed="false">
      <c r="A44" s="6" t="s">
        <v>150</v>
      </c>
      <c r="B44" s="6" t="s">
        <v>151</v>
      </c>
      <c r="C44" s="6" t="s">
        <v>65</v>
      </c>
      <c r="D44" s="7"/>
      <c r="E44" s="8" t="n">
        <v>5.47</v>
      </c>
      <c r="F44" s="8" t="n">
        <v>0</v>
      </c>
      <c r="G44" s="9" t="n">
        <f aca="false">E44+F44</f>
        <v>5.47</v>
      </c>
      <c r="H44" s="10" t="n">
        <v>2.0987</v>
      </c>
      <c r="I44" s="9" t="n">
        <f aca="false">ROUND(G44*(1+H44),2)</f>
        <v>16.95</v>
      </c>
      <c r="J44" s="9" t="n">
        <v>16.95</v>
      </c>
      <c r="K44" s="9" t="n">
        <f aca="false">I44-G44</f>
        <v>11.48</v>
      </c>
      <c r="L44" s="11" t="n">
        <f aca="false">IFERROR(K44/I44,0)</f>
        <v>0.677286135693215</v>
      </c>
      <c r="M44" s="6" t="n">
        <v>4.9</v>
      </c>
      <c r="N44" s="6" t="s">
        <v>152</v>
      </c>
      <c r="O44" s="12" t="s">
        <v>111</v>
      </c>
    </row>
    <row r="45" customFormat="false" ht="15" hidden="false" customHeight="false" outlineLevel="0" collapsed="false">
      <c r="A45" s="6" t="s">
        <v>153</v>
      </c>
      <c r="B45" s="6" t="s">
        <v>154</v>
      </c>
      <c r="C45" s="6" t="s">
        <v>65</v>
      </c>
      <c r="D45" s="7"/>
      <c r="E45" s="8" t="n">
        <v>3.58</v>
      </c>
      <c r="F45" s="8" t="n">
        <v>0</v>
      </c>
      <c r="G45" s="9" t="n">
        <f aca="false">E45+F45</f>
        <v>3.58</v>
      </c>
      <c r="H45" s="10" t="n">
        <v>2.338</v>
      </c>
      <c r="I45" s="9" t="n">
        <f aca="false">ROUND(G45*(1+H45),2)</f>
        <v>11.95</v>
      </c>
      <c r="J45" s="9" t="n">
        <v>11.95</v>
      </c>
      <c r="K45" s="9" t="n">
        <f aca="false">I45-G45</f>
        <v>8.37</v>
      </c>
      <c r="L45" s="11" t="n">
        <f aca="false">IFERROR(K45/I45,0)</f>
        <v>0.700418410041841</v>
      </c>
      <c r="M45" s="6" t="n">
        <v>4.9</v>
      </c>
      <c r="N45" s="6" t="s">
        <v>152</v>
      </c>
      <c r="O45" s="12" t="s">
        <v>111</v>
      </c>
    </row>
    <row r="46" customFormat="false" ht="15" hidden="false" customHeight="false" outlineLevel="0" collapsed="false">
      <c r="A46" s="6" t="s">
        <v>155</v>
      </c>
      <c r="B46" s="6" t="s">
        <v>156</v>
      </c>
      <c r="C46" s="6" t="s">
        <v>65</v>
      </c>
      <c r="D46" s="7"/>
      <c r="E46" s="8" t="n">
        <v>10.74</v>
      </c>
      <c r="F46" s="8" t="n">
        <v>0</v>
      </c>
      <c r="G46" s="9" t="n">
        <f aca="false">E46+F46</f>
        <v>10.74</v>
      </c>
      <c r="H46" s="10" t="n">
        <v>1.5093</v>
      </c>
      <c r="I46" s="9" t="n">
        <f aca="false">ROUND(G46*(1+H46),2)</f>
        <v>26.95</v>
      </c>
      <c r="J46" s="9" t="n">
        <v>26.95</v>
      </c>
      <c r="K46" s="9" t="n">
        <f aca="false">I46-G46</f>
        <v>16.21</v>
      </c>
      <c r="L46" s="11" t="n">
        <f aca="false">IFERROR(K46/I46,0)</f>
        <v>0.601484230055659</v>
      </c>
      <c r="M46" s="6" t="n">
        <v>4.7</v>
      </c>
      <c r="N46" s="6" t="s">
        <v>66</v>
      </c>
      <c r="O46" s="12" t="s">
        <v>53</v>
      </c>
    </row>
    <row r="47" customFormat="false" ht="15" hidden="false" customHeight="false" outlineLevel="0" collapsed="false">
      <c r="A47" s="6" t="s">
        <v>157</v>
      </c>
      <c r="B47" s="6" t="s">
        <v>158</v>
      </c>
      <c r="C47" s="6" t="s">
        <v>65</v>
      </c>
      <c r="D47" s="7"/>
      <c r="E47" s="8" t="n">
        <v>3.37</v>
      </c>
      <c r="F47" s="8" t="n">
        <v>0</v>
      </c>
      <c r="G47" s="9" t="n">
        <f aca="false">E47+F47</f>
        <v>3.37</v>
      </c>
      <c r="H47" s="10" t="n">
        <v>2.2493</v>
      </c>
      <c r="I47" s="9" t="n">
        <f aca="false">ROUND(G47*(1+H47),2)</f>
        <v>10.95</v>
      </c>
      <c r="J47" s="9" t="n">
        <v>10.95</v>
      </c>
      <c r="K47" s="9" t="n">
        <f aca="false">I47-G47</f>
        <v>7.58</v>
      </c>
      <c r="L47" s="11" t="n">
        <f aca="false">IFERROR(K47/I47,0)</f>
        <v>0.692237442922374</v>
      </c>
      <c r="M47" s="6" t="n">
        <v>4.9</v>
      </c>
      <c r="N47" s="6" t="s">
        <v>56</v>
      </c>
      <c r="O47" s="12" t="s">
        <v>111</v>
      </c>
    </row>
    <row r="48" customFormat="false" ht="15" hidden="false" customHeight="false" outlineLevel="0" collapsed="false">
      <c r="A48" s="6" t="s">
        <v>159</v>
      </c>
      <c r="B48" s="6" t="s">
        <v>160</v>
      </c>
      <c r="C48" s="6" t="s">
        <v>71</v>
      </c>
      <c r="D48" s="7"/>
      <c r="E48" s="8" t="n">
        <v>5.67</v>
      </c>
      <c r="F48" s="8" t="n">
        <v>0</v>
      </c>
      <c r="G48" s="9" t="n">
        <f aca="false">E48+F48</f>
        <v>5.67</v>
      </c>
      <c r="H48" s="10" t="n">
        <v>1.9894</v>
      </c>
      <c r="I48" s="9" t="n">
        <f aca="false">ROUND(G48*(1+H48),2)</f>
        <v>16.95</v>
      </c>
      <c r="J48" s="9" t="n">
        <v>16.95</v>
      </c>
      <c r="K48" s="9" t="n">
        <f aca="false">I48-G48</f>
        <v>11.28</v>
      </c>
      <c r="L48" s="11" t="n">
        <f aca="false">IFERROR(K48/I48,0)</f>
        <v>0.665486725663717</v>
      </c>
      <c r="M48" s="6" t="n">
        <v>4.4</v>
      </c>
      <c r="N48" s="6" t="s">
        <v>101</v>
      </c>
      <c r="O48" s="12" t="s">
        <v>53</v>
      </c>
    </row>
    <row r="49" customFormat="false" ht="15" hidden="false" customHeight="false" outlineLevel="0" collapsed="false">
      <c r="A49" s="6" t="s">
        <v>161</v>
      </c>
      <c r="B49" s="6" t="s">
        <v>162</v>
      </c>
      <c r="C49" s="6" t="s">
        <v>71</v>
      </c>
      <c r="D49" s="7"/>
      <c r="E49" s="8" t="n">
        <v>6.36</v>
      </c>
      <c r="F49" s="8" t="n">
        <v>0</v>
      </c>
      <c r="G49" s="9" t="n">
        <f aca="false">E49+F49</f>
        <v>6.36</v>
      </c>
      <c r="H49" s="10" t="n">
        <v>1.9796</v>
      </c>
      <c r="I49" s="9" t="n">
        <f aca="false">ROUND(G49*(1+H49),2)</f>
        <v>18.95</v>
      </c>
      <c r="J49" s="9" t="n">
        <v>18.95</v>
      </c>
      <c r="K49" s="9" t="n">
        <f aca="false">I49-G49</f>
        <v>12.59</v>
      </c>
      <c r="L49" s="11" t="n">
        <f aca="false">IFERROR(K49/I49,0)</f>
        <v>0.664379947229552</v>
      </c>
      <c r="M49" s="6" t="n">
        <v>4.9</v>
      </c>
      <c r="N49" s="6" t="s">
        <v>52</v>
      </c>
      <c r="O49" s="12" t="s">
        <v>53</v>
      </c>
    </row>
    <row r="50" customFormat="false" ht="15" hidden="false" customHeight="false" outlineLevel="0" collapsed="false">
      <c r="A50" s="6" t="s">
        <v>163</v>
      </c>
      <c r="B50" s="6" t="s">
        <v>164</v>
      </c>
      <c r="C50" s="6" t="s">
        <v>71</v>
      </c>
      <c r="D50" s="7"/>
      <c r="E50" s="8" t="n">
        <v>2.3</v>
      </c>
      <c r="F50" s="8" t="n">
        <v>0</v>
      </c>
      <c r="G50" s="9" t="n">
        <f aca="false">E50+F50</f>
        <v>2.3</v>
      </c>
      <c r="H50" s="10" t="n">
        <v>3.3261</v>
      </c>
      <c r="I50" s="9" t="n">
        <f aca="false">ROUND(G50*(1+H50),2)</f>
        <v>9.95</v>
      </c>
      <c r="J50" s="9" t="n">
        <v>9.95</v>
      </c>
      <c r="K50" s="9" t="n">
        <f aca="false">I50-G50</f>
        <v>7.65</v>
      </c>
      <c r="L50" s="11" t="n">
        <f aca="false">IFERROR(K50/I50,0)</f>
        <v>0.768844221105528</v>
      </c>
      <c r="M50" s="6" t="n">
        <v>4.9</v>
      </c>
      <c r="N50" s="6" t="s">
        <v>101</v>
      </c>
      <c r="O50" s="12" t="s">
        <v>53</v>
      </c>
    </row>
    <row r="51" customFormat="false" ht="15" hidden="false" customHeight="false" outlineLevel="0" collapsed="false">
      <c r="A51" s="6" t="s">
        <v>165</v>
      </c>
      <c r="B51" s="6" t="s">
        <v>166</v>
      </c>
      <c r="C51" s="6" t="s">
        <v>71</v>
      </c>
      <c r="D51" s="7"/>
      <c r="E51" s="8" t="n">
        <v>24.91</v>
      </c>
      <c r="F51" s="8" t="n">
        <v>0</v>
      </c>
      <c r="G51" s="9" t="n">
        <f aca="false">E51+F51</f>
        <v>24.91</v>
      </c>
      <c r="H51" s="10" t="n">
        <v>1.2059</v>
      </c>
      <c r="I51" s="9" t="n">
        <f aca="false">ROUND(G51*(1+H51),2)</f>
        <v>54.95</v>
      </c>
      <c r="J51" s="9" t="n">
        <v>54.95</v>
      </c>
      <c r="K51" s="9" t="n">
        <f aca="false">I51-G51</f>
        <v>30.04</v>
      </c>
      <c r="L51" s="11" t="n">
        <f aca="false">IFERROR(K51/I51,0)</f>
        <v>0.546678798908098</v>
      </c>
      <c r="M51" s="6" t="n">
        <v>4.1</v>
      </c>
      <c r="N51" s="6" t="s">
        <v>101</v>
      </c>
      <c r="O51" s="12" t="s">
        <v>111</v>
      </c>
    </row>
    <row r="52" customFormat="false" ht="15" hidden="false" customHeight="false" outlineLevel="0" collapsed="false">
      <c r="A52" s="6" t="s">
        <v>167</v>
      </c>
      <c r="B52" s="6" t="s">
        <v>168</v>
      </c>
      <c r="C52" s="6" t="s">
        <v>71</v>
      </c>
      <c r="D52" s="7"/>
      <c r="E52" s="8" t="n">
        <v>4.58</v>
      </c>
      <c r="F52" s="8" t="n">
        <v>0</v>
      </c>
      <c r="G52" s="9" t="n">
        <f aca="false">E52+F52</f>
        <v>4.58</v>
      </c>
      <c r="H52" s="10" t="n">
        <v>2.0459</v>
      </c>
      <c r="I52" s="9" t="n">
        <f aca="false">ROUND(G52*(1+H52),2)</f>
        <v>13.95</v>
      </c>
      <c r="J52" s="9" t="n">
        <v>13.95</v>
      </c>
      <c r="K52" s="9" t="n">
        <f aca="false">I52-G52</f>
        <v>9.37</v>
      </c>
      <c r="L52" s="11" t="n">
        <f aca="false">IFERROR(K52/I52,0)</f>
        <v>0.67168458781362</v>
      </c>
      <c r="M52" s="6" t="n">
        <v>4.9</v>
      </c>
      <c r="N52" s="6" t="s">
        <v>72</v>
      </c>
      <c r="O52" s="12" t="s">
        <v>53</v>
      </c>
    </row>
    <row r="53" customFormat="false" ht="15" hidden="false" customHeight="false" outlineLevel="0" collapsed="false">
      <c r="A53" s="6" t="s">
        <v>169</v>
      </c>
      <c r="B53" s="6" t="s">
        <v>170</v>
      </c>
      <c r="C53" s="6" t="s">
        <v>71</v>
      </c>
      <c r="D53" s="7"/>
      <c r="E53" s="8" t="n">
        <v>6.25</v>
      </c>
      <c r="F53" s="8" t="n">
        <v>0</v>
      </c>
      <c r="G53" s="9" t="n">
        <f aca="false">E53+F53</f>
        <v>6.25</v>
      </c>
      <c r="H53" s="10" t="n">
        <v>2.032</v>
      </c>
      <c r="I53" s="9" t="n">
        <f aca="false">ROUND(G53*(1+H53),2)</f>
        <v>18.95</v>
      </c>
      <c r="J53" s="9" t="n">
        <v>18.95</v>
      </c>
      <c r="K53" s="9" t="n">
        <f aca="false">I53-G53</f>
        <v>12.7</v>
      </c>
      <c r="L53" s="11" t="n">
        <f aca="false">IFERROR(K53/I53,0)</f>
        <v>0.670184696569921</v>
      </c>
      <c r="M53" s="6" t="n">
        <v>4.9</v>
      </c>
      <c r="N53" s="6" t="s">
        <v>110</v>
      </c>
      <c r="O53" s="12" t="s">
        <v>53</v>
      </c>
    </row>
    <row r="54" customFormat="false" ht="15" hidden="false" customHeight="false" outlineLevel="0" collapsed="false">
      <c r="A54" s="6" t="s">
        <v>171</v>
      </c>
      <c r="B54" s="6" t="s">
        <v>172</v>
      </c>
      <c r="C54" s="6" t="s">
        <v>71</v>
      </c>
      <c r="D54" s="7"/>
      <c r="E54" s="8" t="n">
        <v>5.65</v>
      </c>
      <c r="F54" s="8" t="n">
        <v>0</v>
      </c>
      <c r="G54" s="9" t="n">
        <f aca="false">E54+F54</f>
        <v>5.65</v>
      </c>
      <c r="H54" s="10" t="n">
        <v>2</v>
      </c>
      <c r="I54" s="9" t="n">
        <f aca="false">ROUND(G54*(1+H54),2)</f>
        <v>16.95</v>
      </c>
      <c r="J54" s="9" t="n">
        <v>16.95</v>
      </c>
      <c r="K54" s="9" t="n">
        <f aca="false">I54-G54</f>
        <v>11.3</v>
      </c>
      <c r="L54" s="11" t="n">
        <f aca="false">IFERROR(K54/I54,0)</f>
        <v>0.666666666666667</v>
      </c>
      <c r="M54" s="6" t="n">
        <v>4.4</v>
      </c>
      <c r="N54" s="6" t="s">
        <v>110</v>
      </c>
      <c r="O54" s="12" t="s">
        <v>53</v>
      </c>
    </row>
    <row r="55" customFormat="false" ht="15" hidden="false" customHeight="false" outlineLevel="0" collapsed="false">
      <c r="A55" s="6" t="s">
        <v>173</v>
      </c>
      <c r="B55" s="6" t="s">
        <v>174</v>
      </c>
      <c r="C55" s="6" t="s">
        <v>71</v>
      </c>
      <c r="D55" s="7"/>
      <c r="E55" s="8" t="n">
        <v>3.57</v>
      </c>
      <c r="F55" s="8" t="n">
        <v>0</v>
      </c>
      <c r="G55" s="9" t="n">
        <f aca="false">E55+F55</f>
        <v>3.57</v>
      </c>
      <c r="H55" s="10" t="n">
        <v>2.6275</v>
      </c>
      <c r="I55" s="9" t="n">
        <f aca="false">ROUND(G55*(1+H55),2)</f>
        <v>12.95</v>
      </c>
      <c r="J55" s="9" t="n">
        <v>12.95</v>
      </c>
      <c r="K55" s="9" t="n">
        <f aca="false">I55-G55</f>
        <v>9.38</v>
      </c>
      <c r="L55" s="11" t="n">
        <f aca="false">IFERROR(K55/I55,0)</f>
        <v>0.724324324324324</v>
      </c>
      <c r="M55" s="6" t="n">
        <v>4</v>
      </c>
      <c r="N55" s="6" t="s">
        <v>72</v>
      </c>
      <c r="O55" s="12" t="s">
        <v>53</v>
      </c>
    </row>
    <row r="56" customFormat="false" ht="15" hidden="false" customHeight="false" outlineLevel="0" collapsed="false">
      <c r="A56" s="6" t="s">
        <v>175</v>
      </c>
      <c r="B56" s="6" t="s">
        <v>176</v>
      </c>
      <c r="C56" s="6" t="s">
        <v>71</v>
      </c>
      <c r="D56" s="7"/>
      <c r="E56" s="8" t="n">
        <v>4.06</v>
      </c>
      <c r="F56" s="8" t="n">
        <v>0</v>
      </c>
      <c r="G56" s="9" t="n">
        <f aca="false">E56+F56</f>
        <v>4.06</v>
      </c>
      <c r="H56" s="10" t="n">
        <v>2.1897</v>
      </c>
      <c r="I56" s="9" t="n">
        <f aca="false">ROUND(G56*(1+H56),2)</f>
        <v>12.95</v>
      </c>
      <c r="J56" s="9" t="n">
        <v>12.95</v>
      </c>
      <c r="K56" s="9" t="n">
        <f aca="false">I56-G56</f>
        <v>8.89</v>
      </c>
      <c r="L56" s="11" t="n">
        <f aca="false">IFERROR(K56/I56,0)</f>
        <v>0.686486486486487</v>
      </c>
      <c r="M56" s="6" t="n">
        <v>4.6</v>
      </c>
      <c r="N56" s="6" t="s">
        <v>66</v>
      </c>
      <c r="O56" s="12" t="s">
        <v>53</v>
      </c>
    </row>
    <row r="57" customFormat="false" ht="15" hidden="false" customHeight="false" outlineLevel="0" collapsed="false">
      <c r="A57" s="6" t="s">
        <v>177</v>
      </c>
      <c r="B57" s="6" t="s">
        <v>178</v>
      </c>
      <c r="C57" s="6" t="s">
        <v>71</v>
      </c>
      <c r="D57" s="7"/>
      <c r="E57" s="8" t="n">
        <v>5.28</v>
      </c>
      <c r="F57" s="8" t="n">
        <v>0</v>
      </c>
      <c r="G57" s="9" t="n">
        <f aca="false">E57+F57</f>
        <v>5.28</v>
      </c>
      <c r="H57" s="10" t="n">
        <v>2.0208</v>
      </c>
      <c r="I57" s="9" t="n">
        <f aca="false">ROUND(G57*(1+H57),2)</f>
        <v>15.95</v>
      </c>
      <c r="J57" s="9" t="n">
        <v>15.95</v>
      </c>
      <c r="K57" s="9" t="n">
        <f aca="false">I57-G57</f>
        <v>10.67</v>
      </c>
      <c r="L57" s="11" t="n">
        <f aca="false">IFERROR(K57/I57,0)</f>
        <v>0.668965517241379</v>
      </c>
      <c r="M57" s="6" t="n">
        <v>4.9</v>
      </c>
      <c r="N57" s="6" t="s">
        <v>66</v>
      </c>
      <c r="O57" s="12" t="s">
        <v>53</v>
      </c>
    </row>
    <row r="58" customFormat="false" ht="15" hidden="false" customHeight="false" outlineLevel="0" collapsed="false">
      <c r="A58" s="6" t="s">
        <v>179</v>
      </c>
      <c r="B58" s="6" t="s">
        <v>180</v>
      </c>
      <c r="C58" s="6" t="s">
        <v>71</v>
      </c>
      <c r="D58" s="7"/>
      <c r="E58" s="8" t="n">
        <v>7.82</v>
      </c>
      <c r="F58" s="8" t="n">
        <v>0</v>
      </c>
      <c r="G58" s="9" t="n">
        <f aca="false">E58+F58</f>
        <v>7.82</v>
      </c>
      <c r="H58" s="10" t="n">
        <v>1.8069</v>
      </c>
      <c r="I58" s="9" t="n">
        <f aca="false">ROUND(G58*(1+H58),2)</f>
        <v>21.95</v>
      </c>
      <c r="J58" s="9" t="n">
        <v>21.95</v>
      </c>
      <c r="K58" s="9" t="n">
        <f aca="false">I58-G58</f>
        <v>14.13</v>
      </c>
      <c r="L58" s="11" t="n">
        <f aca="false">IFERROR(K58/I58,0)</f>
        <v>0.64373576309795</v>
      </c>
      <c r="M58" s="6" t="n">
        <v>4.9</v>
      </c>
      <c r="N58" s="6" t="s">
        <v>66</v>
      </c>
      <c r="O58" s="12" t="s">
        <v>181</v>
      </c>
    </row>
    <row r="59" customFormat="false" ht="15" hidden="false" customHeight="false" outlineLevel="0" collapsed="false">
      <c r="A59" s="6" t="s">
        <v>182</v>
      </c>
      <c r="B59" s="6" t="s">
        <v>183</v>
      </c>
      <c r="C59" s="6" t="s">
        <v>71</v>
      </c>
      <c r="D59" s="7"/>
      <c r="E59" s="8" t="n">
        <v>3.18</v>
      </c>
      <c r="F59" s="8" t="n">
        <v>0</v>
      </c>
      <c r="G59" s="9" t="n">
        <f aca="false">E59+F59</f>
        <v>3.18</v>
      </c>
      <c r="H59" s="10" t="n">
        <v>2.7579</v>
      </c>
      <c r="I59" s="9" t="n">
        <f aca="false">ROUND(G59*(1+H59),2)</f>
        <v>11.95</v>
      </c>
      <c r="J59" s="9" t="n">
        <v>11.95</v>
      </c>
      <c r="K59" s="9" t="n">
        <f aca="false">I59-G59</f>
        <v>8.77</v>
      </c>
      <c r="L59" s="11" t="n">
        <f aca="false">IFERROR(K59/I59,0)</f>
        <v>0.733891213389121</v>
      </c>
      <c r="M59" s="6" t="n">
        <v>4.5</v>
      </c>
      <c r="N59" s="6" t="s">
        <v>110</v>
      </c>
      <c r="O59" s="12" t="s">
        <v>181</v>
      </c>
    </row>
    <row r="60" customFormat="false" ht="15" hidden="false" customHeight="false" outlineLevel="0" collapsed="false">
      <c r="A60" s="6" t="s">
        <v>184</v>
      </c>
      <c r="B60" s="6" t="s">
        <v>185</v>
      </c>
      <c r="C60" s="6" t="s">
        <v>71</v>
      </c>
      <c r="D60" s="7"/>
      <c r="E60" s="8" t="n">
        <v>1.42</v>
      </c>
      <c r="F60" s="8" t="n">
        <v>0</v>
      </c>
      <c r="G60" s="9" t="n">
        <f aca="false">E60+F60</f>
        <v>1.42</v>
      </c>
      <c r="H60" s="10" t="n">
        <v>4.5986</v>
      </c>
      <c r="I60" s="9" t="n">
        <f aca="false">ROUND(G60*(1+H60),2)</f>
        <v>7.95</v>
      </c>
      <c r="J60" s="9" t="n">
        <v>7.95</v>
      </c>
      <c r="K60" s="9" t="n">
        <f aca="false">I60-G60</f>
        <v>6.53</v>
      </c>
      <c r="L60" s="11" t="n">
        <f aca="false">IFERROR(K60/I60,0)</f>
        <v>0.821383647798742</v>
      </c>
      <c r="M60" s="6" t="n">
        <v>4.6</v>
      </c>
      <c r="N60" s="6" t="s">
        <v>72</v>
      </c>
      <c r="O60" s="12" t="s">
        <v>181</v>
      </c>
    </row>
    <row r="61" customFormat="false" ht="15" hidden="false" customHeight="false" outlineLevel="0" collapsed="false">
      <c r="A61" s="6" t="s">
        <v>186</v>
      </c>
      <c r="B61" s="6" t="s">
        <v>187</v>
      </c>
      <c r="C61" s="6" t="s">
        <v>71</v>
      </c>
      <c r="D61" s="7"/>
      <c r="E61" s="8" t="n">
        <v>5.25</v>
      </c>
      <c r="F61" s="8" t="n">
        <v>0</v>
      </c>
      <c r="G61" s="9" t="n">
        <f aca="false">E61+F61</f>
        <v>5.25</v>
      </c>
      <c r="H61" s="10" t="n">
        <v>2.0381</v>
      </c>
      <c r="I61" s="9" t="n">
        <f aca="false">ROUND(G61*(1+H61),2)</f>
        <v>15.95</v>
      </c>
      <c r="J61" s="9" t="n">
        <v>15.95</v>
      </c>
      <c r="K61" s="9" t="n">
        <f aca="false">I61-G61</f>
        <v>10.7</v>
      </c>
      <c r="L61" s="11" t="n">
        <f aca="false">IFERROR(K61/I61,0)</f>
        <v>0.670846394984326</v>
      </c>
      <c r="M61" s="6" t="n">
        <v>4.6</v>
      </c>
      <c r="N61" s="6" t="s">
        <v>72</v>
      </c>
      <c r="O61" s="12" t="s">
        <v>181</v>
      </c>
    </row>
    <row r="62" customFormat="false" ht="15" hidden="false" customHeight="false" outlineLevel="0" collapsed="false">
      <c r="A62" s="6" t="s">
        <v>188</v>
      </c>
      <c r="B62" s="6" t="s">
        <v>189</v>
      </c>
      <c r="C62" s="6" t="s">
        <v>71</v>
      </c>
      <c r="D62" s="7"/>
      <c r="E62" s="8" t="n">
        <v>5.53</v>
      </c>
      <c r="F62" s="8" t="n">
        <v>0</v>
      </c>
      <c r="G62" s="9" t="n">
        <f aca="false">E62+F62</f>
        <v>5.53</v>
      </c>
      <c r="H62" s="10" t="n">
        <v>2.0651</v>
      </c>
      <c r="I62" s="9" t="n">
        <f aca="false">ROUND(G62*(1+H62),2)</f>
        <v>16.95</v>
      </c>
      <c r="J62" s="9" t="n">
        <v>16.95</v>
      </c>
      <c r="K62" s="9" t="n">
        <f aca="false">I62-G62</f>
        <v>11.42</v>
      </c>
      <c r="L62" s="11" t="n">
        <f aca="false">IFERROR(K62/I62,0)</f>
        <v>0.673746312684366</v>
      </c>
      <c r="M62" s="6" t="n">
        <v>4.9</v>
      </c>
      <c r="N62" s="6" t="s">
        <v>72</v>
      </c>
      <c r="O62" s="12" t="s">
        <v>181</v>
      </c>
    </row>
    <row r="63" customFormat="false" ht="15" hidden="false" customHeight="false" outlineLevel="0" collapsed="false">
      <c r="A63" s="6" t="s">
        <v>190</v>
      </c>
      <c r="B63" s="6" t="s">
        <v>191</v>
      </c>
      <c r="C63" s="6" t="s">
        <v>71</v>
      </c>
      <c r="D63" s="7"/>
      <c r="E63" s="8" t="n">
        <v>5.44</v>
      </c>
      <c r="F63" s="8" t="n">
        <v>0</v>
      </c>
      <c r="G63" s="9" t="n">
        <f aca="false">E63+F63</f>
        <v>5.44</v>
      </c>
      <c r="H63" s="10" t="n">
        <v>1.932</v>
      </c>
      <c r="I63" s="9" t="n">
        <f aca="false">ROUND(G63*(1+H63),2)</f>
        <v>15.95</v>
      </c>
      <c r="J63" s="9" t="n">
        <v>15.95</v>
      </c>
      <c r="K63" s="9" t="n">
        <f aca="false">I63-G63</f>
        <v>10.51</v>
      </c>
      <c r="L63" s="11" t="n">
        <f aca="false">IFERROR(K63/I63,0)</f>
        <v>0.658934169278997</v>
      </c>
      <c r="M63" s="6" t="n">
        <v>4.7</v>
      </c>
      <c r="N63" s="6" t="s">
        <v>72</v>
      </c>
      <c r="O63" s="12" t="s">
        <v>181</v>
      </c>
    </row>
    <row r="64" customFormat="false" ht="15" hidden="false" customHeight="false" outlineLevel="0" collapsed="false">
      <c r="A64" s="6" t="s">
        <v>192</v>
      </c>
      <c r="B64" s="6" t="s">
        <v>193</v>
      </c>
      <c r="C64" s="6" t="s">
        <v>194</v>
      </c>
      <c r="D64" s="7" t="s">
        <v>195</v>
      </c>
      <c r="E64" s="8" t="n">
        <v>7.4</v>
      </c>
      <c r="F64" s="8" t="n">
        <v>3.12</v>
      </c>
      <c r="G64" s="9" t="n">
        <f aca="false">E64+F64</f>
        <v>10.52</v>
      </c>
      <c r="H64" s="10" t="n">
        <v>1.0865</v>
      </c>
      <c r="I64" s="9" t="n">
        <f aca="false">ROUND(G64*(1+H64),2)</f>
        <v>21.95</v>
      </c>
      <c r="J64" s="9" t="n">
        <v>21.95</v>
      </c>
      <c r="K64" s="9" t="n">
        <f aca="false">I64-G64</f>
        <v>11.43</v>
      </c>
      <c r="L64" s="11" t="n">
        <f aca="false">IFERROR(K64/I64,0)</f>
        <v>0.520728929384966</v>
      </c>
      <c r="M64" s="6" t="n">
        <v>4.4</v>
      </c>
      <c r="N64" s="6" t="s">
        <v>62</v>
      </c>
      <c r="O64" s="12" t="s">
        <v>196</v>
      </c>
    </row>
    <row r="65" customFormat="false" ht="15" hidden="false" customHeight="false" outlineLevel="0" collapsed="false">
      <c r="A65" s="6" t="s">
        <v>197</v>
      </c>
      <c r="B65" s="6" t="s">
        <v>198</v>
      </c>
      <c r="C65" s="6" t="s">
        <v>194</v>
      </c>
      <c r="D65" s="7" t="s">
        <v>199</v>
      </c>
      <c r="E65" s="8" t="n">
        <v>11.86</v>
      </c>
      <c r="F65" s="8" t="n">
        <v>0</v>
      </c>
      <c r="G65" s="9" t="n">
        <f aca="false">E65+F65</f>
        <v>11.86</v>
      </c>
      <c r="H65" s="10" t="n">
        <v>1.3567</v>
      </c>
      <c r="I65" s="9" t="n">
        <f aca="false">ROUND(G65*(1+H65),2)</f>
        <v>27.95</v>
      </c>
      <c r="J65" s="9" t="n">
        <v>27.95</v>
      </c>
      <c r="K65" s="9" t="n">
        <f aca="false">I65-G65</f>
        <v>16.09</v>
      </c>
      <c r="L65" s="11" t="n">
        <f aca="false">IFERROR(K65/I65,0)</f>
        <v>0.57567084078712</v>
      </c>
      <c r="M65" s="6" t="n">
        <v>4.4</v>
      </c>
      <c r="N65" s="6" t="s">
        <v>200</v>
      </c>
      <c r="O65" s="12" t="s">
        <v>196</v>
      </c>
    </row>
    <row r="66" customFormat="false" ht="15" hidden="false" customHeight="false" outlineLevel="0" collapsed="false">
      <c r="B66" s="13" t="s">
        <v>201</v>
      </c>
      <c r="K66" s="14" t="n">
        <f aca="false">SUM(K2:K65)</f>
        <v>717.21</v>
      </c>
      <c r="L66" s="15" t="n">
        <f aca="false">AVERAGE(L2:L65)</f>
        <v>0.674976043112933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2026-08-10T13:41:53Z</dcterms:created>
  <dc:creator>openpyxl</dc:creator>
  <dc:description/>
  <dc:language>en-US</dc:language>
  <cp:lastModifiedBy/>
  <dcterms:modified xsi:type="dcterms:W3CDTF">2026-08-10T13:41:54Z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