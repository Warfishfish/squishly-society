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s" sheetId="2" state="visible" r:id="rId4"/>
    <sheet name="AU retail benchmarks" sheetId="3" state="visible" r:id="rId5"/>
    <sheet name="Scor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<sst xmlns="http://schemas.openxmlformats.org/spreadsheetml/2006/main" count="160" uniqueCount="130">
  <si>
    <t xml:space="preserve">Squishy Market Research — Supplier Data</t>
  </si>
  <si>
    <t xml:space="preserve">All prices AUD. Supplier data read from live AliExpress listings on 12 August 2026.</t>
  </si>
  <si>
    <t xml:space="preserve">THE HEADLINE FINDING</t>
  </si>
  <si>
    <t xml:space="preserve">The trending product (mystery dumpling squishies) does not work economically in Australia.</t>
  </si>
  <si>
    <t xml:space="preserve">AliExpress regular price is $15.81-$17.74 per dumpling. Australian shops retail the same</t>
  </si>
  <si>
    <t xml:space="preserve">thing at $8.95. You would be buying at roughly double local retail. See the Products tab.</t>
  </si>
  <si>
    <t xml:space="preserve">THE PRICE TRAP TO AVOID</t>
  </si>
  <si>
    <t xml:space="preserve">Every AliExpress listing checked showed a 'Welcome deal' price about half the regular price.</t>
  </si>
  <si>
    <t xml:space="preserve">That discount is one-time, for new shoppers only. Costing a product from it makes a</t>
  </si>
  <si>
    <t xml:space="preserve">loss-making item look profitable. Both prices are recorded here so you can see the gap.</t>
  </si>
  <si>
    <t xml:space="preserve">HOW TO USE THIS SHEET</t>
  </si>
  <si>
    <t xml:space="preserve">1. 'Products' — one row per verified listing, with margin calculated against Australian retail.</t>
  </si>
  <si>
    <t xml:space="preserve">2. 'AU retail benchmarks' — what Australian shops actually charge. This is your price ceiling.</t>
  </si>
  <si>
    <t xml:space="preserve">3. 'Scoring' — the ranking matrix. Weights in row 3 are yours to change.</t>
  </si>
  <si>
    <t xml:space="preserve">4. Blue cells are inputs you can edit. Black cells are formulas — don't type over them.</t>
  </si>
  <si>
    <t xml:space="preserve">5. Yellow cells are key assumptions worth revisiting.</t>
  </si>
  <si>
    <t xml:space="preserve">THE RULE THIS SHEET IMPLIES</t>
  </si>
  <si>
    <t xml:space="preserve">Australian retail for this category sits at $6.95-$13.95. To sell at $9-13 with 50%+ margin,</t>
  </si>
  <si>
    <t xml:space="preserve">landed cost must stay under about $4.50. Every dumpling listing checked fails that by 2-4x.</t>
  </si>
  <si>
    <t xml:space="preserve">The existing Mini Dumpling Keychain (sq-011) passes it easily at $2.12.</t>
  </si>
  <si>
    <t xml:space="preserve">WHAT IS NOT IN HERE</t>
  </si>
  <si>
    <t xml:space="preserve">CJdropshipping, Alibaba, 1688 agents and Australian wholesalers were not verified.</t>
  </si>
  <si>
    <t xml:space="preserve">Anything unconfirmed is written 'Unable to verify' rather than estimated.</t>
  </si>
  <si>
    <t xml:space="preserve">Product</t>
  </si>
  <si>
    <t xml:space="preserve">Platform</t>
  </si>
  <si>
    <t xml:space="preserve">Product URL</t>
  </si>
  <si>
    <t xml:space="preserve">Supplier</t>
  </si>
  <si>
    <t xml:space="preserve">Supplier rating</t>
  </si>
  <si>
    <t xml:space="preserve">Regular price (AUD)</t>
  </si>
  <si>
    <t xml:space="preserve">Welcome-deal price</t>
  </si>
  <si>
    <t xml:space="preserve">Pack size</t>
  </si>
  <si>
    <t xml:space="preserve">Cost per unit</t>
  </si>
  <si>
    <t xml:space="preserve">Shipping</t>
  </si>
  <si>
    <t xml:space="preserve">Landed cost per unit</t>
  </si>
  <si>
    <t xml:space="preserve">AU retail benchmark</t>
  </si>
  <si>
    <t xml:space="preserve">Gross profit</t>
  </si>
  <si>
    <t xml:space="preserve">Gross margin</t>
  </si>
  <si>
    <t xml:space="preserve">Rating</t>
  </si>
  <si>
    <t xml:space="preserve">Reviews</t>
  </si>
  <si>
    <t xml:space="preserve">Orders</t>
  </si>
  <si>
    <t xml:space="preserve">Warehouse</t>
  </si>
  <si>
    <t xml:space="preserve">Delivery to AU</t>
  </si>
  <si>
    <t xml:space="preserve">IP status</t>
  </si>
  <si>
    <t xml:space="preserve">Risk</t>
  </si>
  <si>
    <t xml:space="preserve">Notes</t>
  </si>
  <si>
    <t xml:space="preserve">New 1-12pcs Glitter Dumpling Squishy with Box</t>
  </si>
  <si>
    <t xml:space="preserve">AliExpress</t>
  </si>
  <si>
    <t xml:space="preserve">https://www.aliexpress.com/item/1005012240430026.html</t>
  </si>
  <si>
    <t xml:space="preserve">Brand+ certified store</t>
  </si>
  <si>
    <t xml:space="preserve">Unable to verify</t>
  </si>
  <si>
    <t xml:space="preserve">10,000+</t>
  </si>
  <si>
    <t xml:space="preserve">China</t>
  </si>
  <si>
    <t xml:space="preserve">18-24 Aug (6-12d)</t>
  </si>
  <si>
    <t xml:space="preserve">Generic-branded (Brand+)</t>
  </si>
  <si>
    <t xml:space="preserve">High</t>
  </si>
  <si>
    <t xml:space="preserve">Highest volume found. Bulk does NOT reduce unit cost: 1pc $15.94, 6pc $15.81ea, 12pc $17.74ea. Unsellable in AU at these prices.</t>
  </si>
  <si>
    <t xml:space="preserve">Mini Glitter Dumpling Squishy with Box</t>
  </si>
  <si>
    <t xml:space="preserve">https://www.aliexpress.com/item/1005012270925768.html</t>
  </si>
  <si>
    <t xml:space="preserve">Happy Good Store</t>
  </si>
  <si>
    <t xml:space="preserve">89.5%</t>
  </si>
  <si>
    <t xml:space="preserve">4,000+</t>
  </si>
  <si>
    <t xml:space="preserve">18-24 Aug</t>
  </si>
  <si>
    <t xml:space="preserve">Generic (no brand field)</t>
  </si>
  <si>
    <t xml:space="preserve">Best unit price found at 6-pack ($9.16ea) and still above AU retail. Top review theme 'very tiny' (29 mentions). Warning: keep away from fire.</t>
  </si>
  <si>
    <t xml:space="preserve">Blind Box Colorful Simulated Dumpling Squishy</t>
  </si>
  <si>
    <t xml:space="preserve">https://www.aliexpress.com/item/1005012446445248.html</t>
  </si>
  <si>
    <t xml:space="preserve">Shop1105510367</t>
  </si>
  <si>
    <t xml:space="preserve">80.6%</t>
  </si>
  <si>
    <t xml:space="preserve">2,000+</t>
  </si>
  <si>
    <t xml:space="preserve">19-25 Aug</t>
  </si>
  <si>
    <t xml:space="preserve">DO NOT USE. Seller feedback 80.6% with 17 followers. 'Very small' top review theme (18 mentions). Recorded as a negative finding.</t>
  </si>
  <si>
    <t xml:space="preserve">Mini Dumpling Keychain (sq-011, already stocked)</t>
  </si>
  <si>
    <t xml:space="preserve">https://www.aliexpress.com/item/1005009663405697.html</t>
  </si>
  <si>
    <t xml:space="preserve">BEAUTIFUL AND REFINED Store</t>
  </si>
  <si>
    <t xml:space="preserve">94.6%</t>
  </si>
  <si>
    <t xml:space="preserve">700+</t>
  </si>
  <si>
    <t xml:space="preserve">16-21 Aug</t>
  </si>
  <si>
    <t xml:space="preserve">Low</t>
  </si>
  <si>
    <t xml:space="preserve">BENCHMARK. Already in the catalogue. Right shape category, sane price, 64% margin. Outperforms every trending product economically.</t>
  </si>
  <si>
    <t xml:space="preserve">Color Changing Mango Squishy (generic)</t>
  </si>
  <si>
    <t xml:space="preserve">Listing unavailable - search using: Color Changing Mango Squishy</t>
  </si>
  <si>
    <t xml:space="preserve">n/a</t>
  </si>
  <si>
    <t xml:space="preserve">9</t>
  </si>
  <si>
    <t xml:space="preserve">Clean - no brand</t>
  </si>
  <si>
    <t xml:space="preserve">Med</t>
  </si>
  <si>
    <t xml:space="preserve">Proves legal alternatives exist, but only 9 orders. Volume too low to prove demand. Shipping not verified.</t>
  </si>
  <si>
    <t xml:space="preserve">Gross margin = (AU retail benchmark - landed cost) / AU retail benchmark.</t>
  </si>
  <si>
    <t xml:space="preserve">Costed from REGULAR price, not the Welcome deal (column G), which is one-time for new shoppers only.</t>
  </si>
  <si>
    <t xml:space="preserve">Yellow = the AU retail price you're competing with. Change it to test different price points.</t>
  </si>
  <si>
    <t xml:space="preserve">EXCLUDED: NeeDoh-branded listings. Counterfeit - $214,000 seized 8 Aug 2026. URLs deliberately not recorded.</t>
  </si>
  <si>
    <t xml:space="preserve">Retailer</t>
  </si>
  <si>
    <t xml:space="preserve">Retail price (AUD)</t>
  </si>
  <si>
    <t xml:space="preserve">Smooshos Colour Change Ball</t>
  </si>
  <si>
    <t xml:space="preserve">Spoilt (Melbourne)</t>
  </si>
  <si>
    <t xml:space="preserve">Smooshos Crystal Ball</t>
  </si>
  <si>
    <t xml:space="preserve">Isalbi Sparkly Squish Cube</t>
  </si>
  <si>
    <t xml:space="preserve">Mystery Dumpling Squish</t>
  </si>
  <si>
    <t xml:space="preserve">The direct competitor to the trending product</t>
  </si>
  <si>
    <t xml:space="preserve">Smooshos Super Squeeze Dumbbell</t>
  </si>
  <si>
    <t xml:space="preserve">Teenie NeeDoh, set of 3</t>
  </si>
  <si>
    <t xml:space="preserve">Authentic branded</t>
  </si>
  <si>
    <t xml:space="preserve">Smooshos Super Squeeze Penguin</t>
  </si>
  <si>
    <t xml:space="preserve">Nice Ice Cube NeeDoh</t>
  </si>
  <si>
    <t xml:space="preserve">Dream Drop NeeDoh</t>
  </si>
  <si>
    <t xml:space="preserve">Lowest</t>
  </si>
  <si>
    <t xml:space="preserve">Highest</t>
  </si>
  <si>
    <t xml:space="preserve">Average</t>
  </si>
  <si>
    <t xml:space="preserve">Max landed cost for 50% margin at the average price:</t>
  </si>
  <si>
    <t xml:space="preserve">This is the number to test any candidate against. Source: spoilt.com.au, read 12 Aug 2026.</t>
  </si>
  <si>
    <t xml:space="preserve">Product ranking</t>
  </si>
  <si>
    <t xml:space="preserve">Scored out of 10. Competition and risk are scored so higher = better. Weights in row 4 are yours to change.</t>
  </si>
  <si>
    <t xml:space="preserve">Weight →</t>
  </si>
  <si>
    <t xml:space="preserve">Trend strength</t>
  </si>
  <si>
    <t xml:space="preserve">Viral potential</t>
  </si>
  <si>
    <t xml:space="preserve">Profit potential</t>
  </si>
  <si>
    <t xml:space="preserve">Shipping practicality</t>
  </si>
  <si>
    <t xml:space="preserve">Repeat/collectible</t>
  </si>
  <si>
    <t xml:space="preserve">Giftability</t>
  </si>
  <si>
    <t xml:space="preserve">Low competition</t>
  </si>
  <si>
    <t xml:space="preserve">Low IP/supplier risk</t>
  </si>
  <si>
    <t xml:space="preserve">Weighted total</t>
  </si>
  <si>
    <t xml:space="preserve">Mini Dumpling Keychain (already stocked)</t>
  </si>
  <si>
    <t xml:space="preserve">Blind-box keychain format (to develop)</t>
  </si>
  <si>
    <t xml:space="preserve">Food/bakery squishies</t>
  </si>
  <si>
    <t xml:space="preserve">Colour-changing squishy (generic)</t>
  </si>
  <si>
    <t xml:space="preserve">Glitter dumpling squishy</t>
  </si>
  <si>
    <t xml:space="preserve">Generic dough stress ball</t>
  </si>
  <si>
    <t xml:space="preserve">AliExpress 'NeeDoh' — EXCLUDED</t>
  </si>
  <si>
    <t xml:space="preserve">The excluded row scores highest on demand and is unsellable. That gap is the finding.</t>
  </si>
  <si>
    <t xml:space="preserve">A zero on IP risk is disqualifying no matter what the total says.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</si>
</sst>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2E2E"/>
        <bgColor rgb="FF333300"/>
      </patternFill>
    </fill>
    <fill>
      <patternFill patternType="solid">
        <fgColor rgb="FFFFFF99"/>
        <bgColor rgb="FFE4F5EA"/>
      </patternFill>
    </fill>
    <fill>
      <patternFill patternType="solid">
        <fgColor rgb="FFFCE4E4"/>
        <bgColor rgb="FFDDDDDD"/>
      </patternFill>
    </fill>
    <fill>
      <patternFill patternType="solid">
        <fgColor rgb="FFE4F5E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E4F5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5"/>
    <col collapsed="false" customWidth="true" hidden="false" outlineLevel="0" max="14" min="13" style="0" width="12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0" min="20" style="0" width="20"/>
    <col collapsed="false" customWidth="true" hidden="false" outlineLevel="0" max="21" min="21" style="0" width="9"/>
    <col collapsed="false" customWidth="true" hidden="false" outlineLevel="0" max="22" min="22" style="0" width="60"/>
  </cols>
  <sheetData>
    <row r="1" customFormat="false" ht="33.7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</row>
    <row r="2" customFormat="false" ht="23.85" hidden="false" customHeight="false" outlineLevel="0" collapsed="false">
      <c r="A2" s="3" t="s">
        <v>45</v>
      </c>
      <c r="B2" s="3" t="s">
        <v>46</v>
      </c>
      <c r="C2" s="6" t="s">
        <v>47</v>
      </c>
      <c r="D2" s="3" t="s">
        <v>48</v>
      </c>
      <c r="E2" s="3" t="s">
        <v>49</v>
      </c>
      <c r="F2" s="7" t="n">
        <v>94.89</v>
      </c>
      <c r="G2" s="7" t="n">
        <v>46.49</v>
      </c>
      <c r="H2" s="6" t="n">
        <v>6</v>
      </c>
      <c r="I2" s="8" t="n">
        <f aca="false">IFERROR(F2/H2,0)</f>
        <v>15.815</v>
      </c>
      <c r="J2" s="7" t="n">
        <v>0</v>
      </c>
      <c r="K2" s="8" t="n">
        <f aca="false">I2+N(J2)</f>
        <v>15.815</v>
      </c>
      <c r="L2" s="9" t="n">
        <v>8.95</v>
      </c>
      <c r="M2" s="8" t="n">
        <f aca="false">L2-K2</f>
        <v>-6.865</v>
      </c>
      <c r="N2" s="10" t="n">
        <f aca="false">IFERROR(M2/L2,0)</f>
        <v>-0.767039106145252</v>
      </c>
      <c r="O2" s="3" t="n">
        <v>4.3</v>
      </c>
      <c r="P2" s="3" t="n">
        <v>2111</v>
      </c>
      <c r="Q2" s="3" t="s">
        <v>50</v>
      </c>
      <c r="R2" s="3" t="s">
        <v>51</v>
      </c>
      <c r="S2" s="3" t="s">
        <v>52</v>
      </c>
      <c r="T2" s="3" t="s">
        <v>53</v>
      </c>
      <c r="U2" s="11" t="s">
        <v>54</v>
      </c>
      <c r="V2" s="12" t="s">
        <v>55</v>
      </c>
    </row>
    <row r="3" customFormat="false" ht="23.85" hidden="false" customHeight="false" outlineLevel="0" collapsed="false">
      <c r="A3" s="3" t="s">
        <v>56</v>
      </c>
      <c r="B3" s="3" t="s">
        <v>46</v>
      </c>
      <c r="C3" s="6" t="s">
        <v>57</v>
      </c>
      <c r="D3" s="3" t="s">
        <v>58</v>
      </c>
      <c r="E3" s="3" t="s">
        <v>59</v>
      </c>
      <c r="F3" s="7" t="n">
        <v>54.98</v>
      </c>
      <c r="G3" s="7" t="n">
        <v>25.83</v>
      </c>
      <c r="H3" s="6" t="n">
        <v>6</v>
      </c>
      <c r="I3" s="8" t="n">
        <f aca="false">IFERROR(F3/H3,0)</f>
        <v>9.16333333333333</v>
      </c>
      <c r="J3" s="7" t="n">
        <v>0</v>
      </c>
      <c r="K3" s="8" t="n">
        <f aca="false">I3+N(J3)</f>
        <v>9.16333333333333</v>
      </c>
      <c r="L3" s="9" t="n">
        <v>8.95</v>
      </c>
      <c r="M3" s="8" t="n">
        <f aca="false">L3-K3</f>
        <v>-0.213333333333333</v>
      </c>
      <c r="N3" s="10" t="n">
        <f aca="false">IFERROR(M3/L3,0)</f>
        <v>-0.0238361266294227</v>
      </c>
      <c r="O3" s="3" t="n">
        <v>4.2</v>
      </c>
      <c r="P3" s="3" t="n">
        <v>338</v>
      </c>
      <c r="Q3" s="3" t="s">
        <v>60</v>
      </c>
      <c r="R3" s="3" t="s">
        <v>51</v>
      </c>
      <c r="S3" s="3" t="s">
        <v>61</v>
      </c>
      <c r="T3" s="3" t="s">
        <v>62</v>
      </c>
      <c r="U3" s="11" t="s">
        <v>54</v>
      </c>
      <c r="V3" s="12" t="s">
        <v>63</v>
      </c>
    </row>
    <row r="4" customFormat="false" ht="23.85" hidden="false" customHeight="false" outlineLevel="0" collapsed="false">
      <c r="A4" s="3" t="s">
        <v>64</v>
      </c>
      <c r="B4" s="3" t="s">
        <v>46</v>
      </c>
      <c r="C4" s="6" t="s">
        <v>65</v>
      </c>
      <c r="D4" s="3" t="s">
        <v>66</v>
      </c>
      <c r="E4" s="3" t="s">
        <v>67</v>
      </c>
      <c r="F4" s="7" t="n">
        <v>11.37</v>
      </c>
      <c r="G4" s="7" t="n">
        <v>5.45</v>
      </c>
      <c r="H4" s="6" t="n">
        <v>1</v>
      </c>
      <c r="I4" s="8" t="n">
        <f aca="false">IFERROR(F4/H4,0)</f>
        <v>11.37</v>
      </c>
      <c r="J4" s="7" t="n">
        <v>3.09</v>
      </c>
      <c r="K4" s="8" t="n">
        <f aca="false">I4+N(J4)</f>
        <v>14.46</v>
      </c>
      <c r="L4" s="9" t="n">
        <v>8.95</v>
      </c>
      <c r="M4" s="8" t="n">
        <f aca="false">L4-K4</f>
        <v>-5.51</v>
      </c>
      <c r="N4" s="10" t="n">
        <f aca="false">IFERROR(M4/L4,0)</f>
        <v>-0.615642458100559</v>
      </c>
      <c r="O4" s="3" t="n">
        <v>4.2</v>
      </c>
      <c r="P4" s="3" t="n">
        <v>131</v>
      </c>
      <c r="Q4" s="3" t="s">
        <v>68</v>
      </c>
      <c r="R4" s="3" t="s">
        <v>51</v>
      </c>
      <c r="S4" s="3" t="s">
        <v>69</v>
      </c>
      <c r="T4" s="3" t="s">
        <v>62</v>
      </c>
      <c r="U4" s="11" t="s">
        <v>54</v>
      </c>
      <c r="V4" s="12" t="s">
        <v>70</v>
      </c>
    </row>
    <row r="5" customFormat="false" ht="23.85" hidden="false" customHeight="false" outlineLevel="0" collapsed="false">
      <c r="A5" s="3" t="s">
        <v>71</v>
      </c>
      <c r="B5" s="3" t="s">
        <v>46</v>
      </c>
      <c r="C5" s="6" t="s">
        <v>72</v>
      </c>
      <c r="D5" s="3" t="s">
        <v>73</v>
      </c>
      <c r="E5" s="3" t="s">
        <v>74</v>
      </c>
      <c r="F5" s="7" t="n">
        <v>2.12</v>
      </c>
      <c r="G5" s="7" t="n">
        <v>2.12</v>
      </c>
      <c r="H5" s="6" t="n">
        <v>1</v>
      </c>
      <c r="I5" s="8" t="n">
        <f aca="false">IFERROR(F5/H5,0)</f>
        <v>2.12</v>
      </c>
      <c r="J5" s="7" t="n">
        <v>0</v>
      </c>
      <c r="K5" s="8" t="n">
        <f aca="false">I5+N(J5)</f>
        <v>2.12</v>
      </c>
      <c r="L5" s="9" t="n">
        <v>5.95</v>
      </c>
      <c r="M5" s="8" t="n">
        <f aca="false">L5-K5</f>
        <v>3.83</v>
      </c>
      <c r="N5" s="13" t="n">
        <f aca="false">IFERROR(M5/L5,0)</f>
        <v>0.643697478991597</v>
      </c>
      <c r="O5" s="3" t="n">
        <v>4.9</v>
      </c>
      <c r="P5" s="3" t="n">
        <v>65</v>
      </c>
      <c r="Q5" s="3" t="s">
        <v>75</v>
      </c>
      <c r="R5" s="3" t="s">
        <v>51</v>
      </c>
      <c r="S5" s="3" t="s">
        <v>76</v>
      </c>
      <c r="T5" s="3" t="s">
        <v>62</v>
      </c>
      <c r="U5" s="3" t="s">
        <v>77</v>
      </c>
      <c r="V5" s="12" t="s">
        <v>78</v>
      </c>
    </row>
    <row r="6" customFormat="false" ht="23.85" hidden="false" customHeight="false" outlineLevel="0" collapsed="false">
      <c r="A6" s="3" t="s">
        <v>79</v>
      </c>
      <c r="B6" s="3" t="s">
        <v>46</v>
      </c>
      <c r="C6" s="6" t="s">
        <v>80</v>
      </c>
      <c r="D6" s="3" t="s">
        <v>49</v>
      </c>
      <c r="E6" s="3" t="s">
        <v>49</v>
      </c>
      <c r="F6" s="7" t="n">
        <v>11.12</v>
      </c>
      <c r="G6" s="7" t="n">
        <v>4.9</v>
      </c>
      <c r="H6" s="6" t="n">
        <v>1</v>
      </c>
      <c r="I6" s="8" t="n">
        <f aca="false">IFERROR(F6/H6,0)</f>
        <v>11.12</v>
      </c>
      <c r="J6" s="6" t="s">
        <v>49</v>
      </c>
      <c r="K6" s="8" t="n">
        <f aca="false">I6+N(J6)</f>
        <v>11.12</v>
      </c>
      <c r="L6" s="9" t="n">
        <v>6.95</v>
      </c>
      <c r="M6" s="8" t="n">
        <f aca="false">L6-K6</f>
        <v>-4.17</v>
      </c>
      <c r="N6" s="10" t="n">
        <f aca="false">IFERROR(M6/L6,0)</f>
        <v>-0.6</v>
      </c>
      <c r="O6" s="3" t="s">
        <v>81</v>
      </c>
      <c r="P6" s="3" t="s">
        <v>81</v>
      </c>
      <c r="Q6" s="3" t="s">
        <v>82</v>
      </c>
      <c r="R6" s="3" t="s">
        <v>49</v>
      </c>
      <c r="S6" s="3" t="s">
        <v>49</v>
      </c>
      <c r="T6" s="3" t="s">
        <v>83</v>
      </c>
      <c r="U6" s="3" t="s">
        <v>84</v>
      </c>
      <c r="V6" s="12" t="s">
        <v>85</v>
      </c>
    </row>
    <row r="8" customFormat="false" ht="15" hidden="false" customHeight="false" outlineLevel="0" collapsed="false">
      <c r="A8" s="2" t="s">
        <v>86</v>
      </c>
    </row>
    <row r="9" customFormat="false" ht="15" hidden="false" customHeight="false" outlineLevel="0" collapsed="false">
      <c r="A9" s="2" t="s">
        <v>87</v>
      </c>
    </row>
    <row r="10" customFormat="false" ht="15" hidden="false" customHeight="false" outlineLevel="0" collapsed="false">
      <c r="A10" s="2" t="s">
        <v>88</v>
      </c>
    </row>
    <row r="11" customFormat="false" ht="15" hidden="false" customHeight="false" outlineLevel="0" collapsed="false">
      <c r="A11" s="1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4" t="s">
        <v>23</v>
      </c>
      <c r="B1" s="14" t="s">
        <v>90</v>
      </c>
      <c r="C1" s="14" t="s">
        <v>91</v>
      </c>
      <c r="D1" s="14" t="s">
        <v>44</v>
      </c>
    </row>
    <row r="2" customFormat="false" ht="15" hidden="false" customHeight="false" outlineLevel="0" collapsed="false">
      <c r="A2" s="3" t="s">
        <v>92</v>
      </c>
      <c r="B2" s="3" t="s">
        <v>93</v>
      </c>
      <c r="C2" s="7" t="n">
        <v>6.95</v>
      </c>
      <c r="D2" s="3"/>
    </row>
    <row r="3" customFormat="false" ht="15" hidden="false" customHeight="false" outlineLevel="0" collapsed="false">
      <c r="A3" s="3" t="s">
        <v>94</v>
      </c>
      <c r="B3" s="3" t="s">
        <v>93</v>
      </c>
      <c r="C3" s="7" t="n">
        <v>6.95</v>
      </c>
      <c r="D3" s="3"/>
    </row>
    <row r="4" customFormat="false" ht="15" hidden="false" customHeight="false" outlineLevel="0" collapsed="false">
      <c r="A4" s="3" t="s">
        <v>95</v>
      </c>
      <c r="B4" s="3" t="s">
        <v>93</v>
      </c>
      <c r="C4" s="7" t="n">
        <v>7.95</v>
      </c>
      <c r="D4" s="3"/>
    </row>
    <row r="5" customFormat="false" ht="15" hidden="false" customHeight="false" outlineLevel="0" collapsed="false">
      <c r="A5" s="3" t="s">
        <v>96</v>
      </c>
      <c r="B5" s="3" t="s">
        <v>93</v>
      </c>
      <c r="C5" s="7" t="n">
        <v>8.95</v>
      </c>
      <c r="D5" s="3" t="s">
        <v>97</v>
      </c>
    </row>
    <row r="6" customFormat="false" ht="15" hidden="false" customHeight="false" outlineLevel="0" collapsed="false">
      <c r="A6" s="3" t="s">
        <v>98</v>
      </c>
      <c r="B6" s="3" t="s">
        <v>93</v>
      </c>
      <c r="C6" s="7" t="n">
        <v>8.95</v>
      </c>
      <c r="D6" s="3"/>
    </row>
    <row r="7" customFormat="false" ht="15" hidden="false" customHeight="false" outlineLevel="0" collapsed="false">
      <c r="A7" s="3" t="s">
        <v>99</v>
      </c>
      <c r="B7" s="3" t="s">
        <v>93</v>
      </c>
      <c r="C7" s="7" t="n">
        <v>9.95</v>
      </c>
      <c r="D7" s="3" t="s">
        <v>100</v>
      </c>
    </row>
    <row r="8" customFormat="false" ht="15" hidden="false" customHeight="false" outlineLevel="0" collapsed="false">
      <c r="A8" s="3" t="s">
        <v>101</v>
      </c>
      <c r="B8" s="3" t="s">
        <v>93</v>
      </c>
      <c r="C8" s="7" t="n">
        <v>9.95</v>
      </c>
      <c r="D8" s="3"/>
    </row>
    <row r="9" customFormat="false" ht="15" hidden="false" customHeight="false" outlineLevel="0" collapsed="false">
      <c r="A9" s="3" t="s">
        <v>102</v>
      </c>
      <c r="B9" s="3" t="s">
        <v>93</v>
      </c>
      <c r="C9" s="7" t="n">
        <v>12.95</v>
      </c>
      <c r="D9" s="3" t="s">
        <v>100</v>
      </c>
    </row>
    <row r="10" customFormat="false" ht="15" hidden="false" customHeight="false" outlineLevel="0" collapsed="false">
      <c r="A10" s="3" t="s">
        <v>103</v>
      </c>
      <c r="B10" s="3" t="s">
        <v>93</v>
      </c>
      <c r="C10" s="7" t="n">
        <v>13.95</v>
      </c>
      <c r="D10" s="3" t="s">
        <v>100</v>
      </c>
    </row>
    <row r="12" customFormat="false" ht="15" hidden="false" customHeight="false" outlineLevel="0" collapsed="false">
      <c r="A12" s="4" t="s">
        <v>104</v>
      </c>
      <c r="C12" s="8" t="n">
        <f aca="false">MIN(C2:C10)</f>
        <v>6.95</v>
      </c>
    </row>
    <row r="13" customFormat="false" ht="15" hidden="false" customHeight="false" outlineLevel="0" collapsed="false">
      <c r="A13" s="4" t="s">
        <v>105</v>
      </c>
      <c r="C13" s="8" t="n">
        <f aca="false">MAX(C2:C10)</f>
        <v>13.95</v>
      </c>
    </row>
    <row r="14" customFormat="false" ht="15" hidden="false" customHeight="false" outlineLevel="0" collapsed="false">
      <c r="A14" s="4" t="s">
        <v>106</v>
      </c>
      <c r="C14" s="8" t="n">
        <f aca="false">AVERAGE(C2:C10)</f>
        <v>9.61666666666667</v>
      </c>
    </row>
    <row r="16" customFormat="false" ht="15" hidden="false" customHeight="false" outlineLevel="0" collapsed="false">
      <c r="A16" s="4" t="s">
        <v>107</v>
      </c>
      <c r="C16" s="15" t="n">
        <f aca="false">ROUND(C14*0.5,2)</f>
        <v>4.81</v>
      </c>
    </row>
    <row r="17" customFormat="false" ht="15" hidden="false" customHeight="false" outlineLevel="0" collapsed="false">
      <c r="A17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2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4" t="s">
        <v>111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</row>
    <row r="5" customFormat="false" ht="42" hidden="false" customHeight="true" outlineLevel="0" collapsed="false">
      <c r="A5" s="17" t="s">
        <v>23</v>
      </c>
      <c r="B5" s="5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118</v>
      </c>
      <c r="I5" s="5" t="s">
        <v>119</v>
      </c>
      <c r="J5" s="18" t="s">
        <v>120</v>
      </c>
    </row>
    <row r="6" customFormat="false" ht="15" hidden="false" customHeight="false" outlineLevel="0" collapsed="false">
      <c r="A6" s="3" t="s">
        <v>121</v>
      </c>
      <c r="B6" s="6" t="n">
        <v>8</v>
      </c>
      <c r="C6" s="6" t="n">
        <v>8</v>
      </c>
      <c r="D6" s="6" t="n">
        <v>9</v>
      </c>
      <c r="E6" s="6" t="n">
        <v>9</v>
      </c>
      <c r="F6" s="6" t="n">
        <v>6</v>
      </c>
      <c r="G6" s="6" t="n">
        <v>8</v>
      </c>
      <c r="H6" s="6" t="n">
        <v>5</v>
      </c>
      <c r="I6" s="6" t="n">
        <v>9</v>
      </c>
      <c r="J6" s="19" t="n">
        <f aca="false">SUMPRODUCT(B6:I6,$B$4:$I$4)</f>
        <v>62</v>
      </c>
    </row>
    <row r="7" customFormat="false" ht="15" hidden="false" customHeight="false" outlineLevel="0" collapsed="false">
      <c r="A7" s="3" t="s">
        <v>122</v>
      </c>
      <c r="B7" s="6" t="n">
        <v>9</v>
      </c>
      <c r="C7" s="6" t="n">
        <v>9</v>
      </c>
      <c r="D7" s="6" t="n">
        <v>7</v>
      </c>
      <c r="E7" s="6" t="n">
        <v>8</v>
      </c>
      <c r="F7" s="6" t="n">
        <v>9</v>
      </c>
      <c r="G7" s="6" t="n">
        <v>8</v>
      </c>
      <c r="H7" s="6" t="n">
        <v>5</v>
      </c>
      <c r="I7" s="6" t="n">
        <v>7</v>
      </c>
      <c r="J7" s="19" t="n">
        <f aca="false">SUMPRODUCT(B7:I7,$B$4:$I$4)</f>
        <v>62</v>
      </c>
    </row>
    <row r="8" customFormat="false" ht="15" hidden="false" customHeight="false" outlineLevel="0" collapsed="false">
      <c r="A8" s="3" t="s">
        <v>123</v>
      </c>
      <c r="B8" s="6" t="n">
        <v>7</v>
      </c>
      <c r="C8" s="6" t="n">
        <v>8</v>
      </c>
      <c r="D8" s="6" t="n">
        <v>7</v>
      </c>
      <c r="E8" s="6" t="n">
        <v>7</v>
      </c>
      <c r="F8" s="6" t="n">
        <v>5</v>
      </c>
      <c r="G8" s="6" t="n">
        <v>8</v>
      </c>
      <c r="H8" s="6" t="n">
        <v>5</v>
      </c>
      <c r="I8" s="6" t="n">
        <v>8</v>
      </c>
      <c r="J8" s="19" t="n">
        <f aca="false">SUMPRODUCT(B8:I8,$B$4:$I$4)</f>
        <v>55</v>
      </c>
    </row>
    <row r="9" customFormat="false" ht="15" hidden="false" customHeight="false" outlineLevel="0" collapsed="false">
      <c r="A9" s="3" t="s">
        <v>124</v>
      </c>
      <c r="B9" s="6" t="n">
        <v>6</v>
      </c>
      <c r="C9" s="6" t="n">
        <v>8</v>
      </c>
      <c r="D9" s="6" t="n">
        <v>6</v>
      </c>
      <c r="E9" s="6" t="n">
        <v>7</v>
      </c>
      <c r="F9" s="6" t="n">
        <v>5</v>
      </c>
      <c r="G9" s="6" t="n">
        <v>7</v>
      </c>
      <c r="H9" s="6" t="n">
        <v>6</v>
      </c>
      <c r="I9" s="6" t="n">
        <v>8</v>
      </c>
      <c r="J9" s="19" t="n">
        <f aca="false">SUMPRODUCT(B9:I9,$B$4:$I$4)</f>
        <v>53</v>
      </c>
    </row>
    <row r="10" customFormat="false" ht="15" hidden="false" customHeight="false" outlineLevel="0" collapsed="false">
      <c r="A10" s="3" t="s">
        <v>125</v>
      </c>
      <c r="B10" s="6" t="n">
        <v>9</v>
      </c>
      <c r="C10" s="6" t="n">
        <v>9</v>
      </c>
      <c r="D10" s="6" t="n">
        <v>2</v>
      </c>
      <c r="E10" s="6" t="n">
        <v>8</v>
      </c>
      <c r="F10" s="6" t="n">
        <v>8</v>
      </c>
      <c r="G10" s="6" t="n">
        <v>7</v>
      </c>
      <c r="H10" s="6" t="n">
        <v>3</v>
      </c>
      <c r="I10" s="6" t="n">
        <v>5</v>
      </c>
      <c r="J10" s="19" t="n">
        <f aca="false">SUMPRODUCT(B10:I10,$B$4:$I$4)</f>
        <v>51</v>
      </c>
    </row>
    <row r="11" customFormat="false" ht="15" hidden="false" customHeight="false" outlineLevel="0" collapsed="false">
      <c r="A11" s="3" t="s">
        <v>126</v>
      </c>
      <c r="B11" s="6" t="n">
        <v>8</v>
      </c>
      <c r="C11" s="6" t="n">
        <v>6</v>
      </c>
      <c r="D11" s="6" t="n">
        <v>5</v>
      </c>
      <c r="E11" s="6" t="n">
        <v>8</v>
      </c>
      <c r="F11" s="6" t="n">
        <v>4</v>
      </c>
      <c r="G11" s="6" t="n">
        <v>6</v>
      </c>
      <c r="H11" s="6" t="n">
        <v>4</v>
      </c>
      <c r="I11" s="6" t="n">
        <v>7</v>
      </c>
      <c r="J11" s="19" t="n">
        <f aca="false">SUMPRODUCT(B11:I11,$B$4:$I$4)</f>
        <v>48</v>
      </c>
    </row>
    <row r="12" customFormat="false" ht="15" hidden="false" customHeight="false" outlineLevel="0" collapsed="false">
      <c r="A12" s="11" t="s">
        <v>127</v>
      </c>
      <c r="B12" s="6" t="n">
        <v>10</v>
      </c>
      <c r="C12" s="6" t="n">
        <v>10</v>
      </c>
      <c r="D12" s="6" t="n">
        <v>8</v>
      </c>
      <c r="E12" s="6" t="n">
        <v>8</v>
      </c>
      <c r="F12" s="6" t="n">
        <v>9</v>
      </c>
      <c r="G12" s="6" t="n">
        <v>8</v>
      </c>
      <c r="H12" s="6" t="n">
        <v>4</v>
      </c>
      <c r="I12" s="6" t="n">
        <v>0</v>
      </c>
      <c r="J12" s="20" t="n">
        <f aca="false">SUMPRODUCT(B12:I12,$B$4:$I$4)</f>
        <v>57</v>
      </c>
    </row>
    <row r="14" customFormat="false" ht="15" hidden="false" customHeight="false" outlineLevel="0" collapsed="false">
      <c r="A14" s="11" t="s">
        <v>128</v>
      </c>
    </row>
    <row r="15" customFormat="false" ht="15" hidden="false" customHeight="false" outlineLevel="0" collapsed="false">
      <c r="A15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2026-08-12T11:02:33Z</dcterms:created>
  <dc:creator>openpyxl</dc:creator>
  <dc:description/>
  <dc:language>en-US</dc:language>
  <cp:lastModifiedBy/>
  <dcterms:modified xsi:type="dcterms:W3CDTF">2026-08-12T11:02:33Z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